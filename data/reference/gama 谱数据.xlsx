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3"/>
  </bookViews>
  <sheets>
    <sheet name="修正前伽马谱" sheetId="2" r:id="rId1"/>
    <sheet name="修正后伽马谱" sheetId="1" r:id="rId2"/>
    <sheet name="原始数据" sheetId="3" r:id="rId3"/>
    <sheet name="原始数据修正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<sst xmlns="http://schemas.openxmlformats.org/spreadsheetml/2006/main" count="652" uniqueCount="492">
  <si>
    <t>Time/d</t>
  </si>
  <si>
    <t>Time/h</t>
  </si>
  <si>
    <t>633/634</t>
  </si>
  <si>
    <t>图例</t>
  </si>
  <si>
    <t>10.18.21:22</t>
  </si>
  <si>
    <t>铅砖数据</t>
  </si>
  <si>
    <t>10.20.09:28</t>
  </si>
  <si>
    <t>铜砖数据</t>
  </si>
  <si>
    <t>10.21.09:04</t>
  </si>
  <si>
    <t>有机玻璃间隔12.5cm</t>
  </si>
  <si>
    <t>10.22.09:04</t>
  </si>
  <si>
    <t>靶片在靶框3号位</t>
  </si>
  <si>
    <t>10.23.09:03</t>
  </si>
  <si>
    <t>靶片直接测量</t>
  </si>
  <si>
    <t>10.24.09:03</t>
  </si>
  <si>
    <t>10.25.09:05</t>
  </si>
  <si>
    <t>10.26.09:19</t>
  </si>
  <si>
    <t>10.27.09:23</t>
  </si>
  <si>
    <t>10.28.09:24</t>
  </si>
  <si>
    <t>10.29.12:05</t>
  </si>
  <si>
    <t>10.30.11.00</t>
  </si>
  <si>
    <t>10.30.09.00</t>
  </si>
  <si>
    <t>10.31.11.30</t>
  </si>
  <si>
    <t>10.31.09.00</t>
  </si>
  <si>
    <t>11.01.09.00</t>
  </si>
  <si>
    <t>11.02.09.00</t>
  </si>
  <si>
    <t>11.03.09.00</t>
  </si>
  <si>
    <t>11.04.09.00</t>
  </si>
  <si>
    <t>11.04.11.30</t>
  </si>
  <si>
    <t>11.05.09.00</t>
  </si>
  <si>
    <t>11.05.12.00</t>
  </si>
  <si>
    <t>11.06.09.00</t>
  </si>
  <si>
    <t>11.06.12.00</t>
  </si>
  <si>
    <t>11.07.09.00</t>
  </si>
  <si>
    <t>11.08.10.00</t>
  </si>
  <si>
    <t>11.09.10.00</t>
  </si>
  <si>
    <t>11.10.10.00</t>
  </si>
  <si>
    <t>11.10.13.00</t>
  </si>
  <si>
    <t>11.11.12.00</t>
  </si>
  <si>
    <t>11.11.10.00</t>
  </si>
  <si>
    <t>11.12.14.00</t>
  </si>
  <si>
    <t>11.12.12.00</t>
  </si>
  <si>
    <t>11.13.12.00</t>
  </si>
  <si>
    <t>11.14.10.00</t>
  </si>
  <si>
    <t>11.14.12.00</t>
  </si>
  <si>
    <t>11.15.10.00</t>
  </si>
  <si>
    <t>11.15.09.00</t>
  </si>
  <si>
    <t>11.16.12.00</t>
  </si>
  <si>
    <t>11.17.10.00</t>
  </si>
  <si>
    <t>11.18.09.00</t>
  </si>
  <si>
    <t>11.19.10.00</t>
  </si>
  <si>
    <t>11.20.09.00</t>
  </si>
  <si>
    <t>11.21.09.00</t>
  </si>
  <si>
    <t>11.22.11.00</t>
  </si>
  <si>
    <t>11.23.13.00</t>
  </si>
  <si>
    <t>11.24.09.00</t>
  </si>
  <si>
    <t>11.25.10.00</t>
  </si>
  <si>
    <t>11.25.09.00</t>
  </si>
  <si>
    <t>11.26.09.00</t>
  </si>
  <si>
    <t>11.26.10.00</t>
  </si>
  <si>
    <t>11.27.11.00</t>
  </si>
  <si>
    <t>11.27.09.00</t>
  </si>
  <si>
    <t>11.28.09.00</t>
  </si>
  <si>
    <t>11.28.11.00</t>
  </si>
  <si>
    <t>11.29.10.00</t>
  </si>
  <si>
    <t>11.30.14.00</t>
  </si>
  <si>
    <t>12.01.11.00</t>
  </si>
  <si>
    <t>12.02.11.00</t>
  </si>
  <si>
    <t>12.02.12.00</t>
  </si>
  <si>
    <t>12.03.12.00</t>
  </si>
  <si>
    <t>12.03.10.00</t>
  </si>
  <si>
    <t>12.04.11.00</t>
  </si>
  <si>
    <t>12.04.12.00</t>
  </si>
  <si>
    <t>12.05.11.00</t>
  </si>
  <si>
    <t>12.05.10.00</t>
  </si>
  <si>
    <t>12.06.11.00</t>
  </si>
  <si>
    <t>12.07.11.00</t>
  </si>
  <si>
    <t>12.08.11.00</t>
  </si>
  <si>
    <t>12.09.11.00</t>
  </si>
  <si>
    <t>12.10.11.00</t>
  </si>
  <si>
    <t>12.11.12.00</t>
  </si>
  <si>
    <t>12.12.12.00</t>
  </si>
  <si>
    <t>12.13.13.00</t>
  </si>
  <si>
    <t>12.14.17.00</t>
  </si>
  <si>
    <t>12.15.07.00</t>
  </si>
  <si>
    <t>12.16.19.00</t>
  </si>
  <si>
    <t>12.17.14.00</t>
  </si>
  <si>
    <t>12.18.20.00</t>
  </si>
  <si>
    <t>12.19.07.00</t>
  </si>
  <si>
    <t>12.20.21.00</t>
  </si>
  <si>
    <t>747ln修正</t>
  </si>
  <si>
    <t>633ln修正</t>
  </si>
  <si>
    <t>747修正</t>
  </si>
  <si>
    <t>633修正</t>
  </si>
  <si>
    <t>Time</t>
  </si>
  <si>
    <t>747原始</t>
  </si>
  <si>
    <t>633原始</t>
  </si>
  <si>
    <t>name</t>
  </si>
  <si>
    <t>747 kev</t>
  </si>
  <si>
    <t>633/634 kev</t>
  </si>
  <si>
    <t>10.18_1_with Pb.root</t>
  </si>
  <si>
    <t>10.18_2_with Pb.root</t>
  </si>
  <si>
    <t>10.18_3_with Pb.root</t>
  </si>
  <si>
    <t>10.18_4_with Pb.root</t>
  </si>
  <si>
    <t>1 平均值</t>
  </si>
  <si>
    <t>10.20_1_with Pb.root</t>
  </si>
  <si>
    <t>10.20_2_with Pb.root</t>
  </si>
  <si>
    <t>10.20_3_with Pb.root</t>
  </si>
  <si>
    <t>10.20_4_with Pb.root</t>
  </si>
  <si>
    <t>2 平均值</t>
  </si>
  <si>
    <t>10.21_1_with Pb.root</t>
  </si>
  <si>
    <t>10.21_2_with Pb.root</t>
  </si>
  <si>
    <t>10.21_3_with Pb.root</t>
  </si>
  <si>
    <t>10.21_4_with Pb.root</t>
  </si>
  <si>
    <t>3 平均值</t>
  </si>
  <si>
    <t>10.22_1_with Pb.root</t>
  </si>
  <si>
    <t>10.22_2_with Pb.root</t>
  </si>
  <si>
    <t>10.22_3_with Pb.root</t>
  </si>
  <si>
    <t>10.22_4_with Pb.root</t>
  </si>
  <si>
    <t>4 平均值</t>
  </si>
  <si>
    <t>10.23_1_with Pb.root</t>
  </si>
  <si>
    <t>10.23_2_with Pb.root</t>
  </si>
  <si>
    <t>10.23_3_with Pb.root</t>
  </si>
  <si>
    <t>10.23_4_with Pb.root</t>
  </si>
  <si>
    <t>5 平均值</t>
  </si>
  <si>
    <t>10.24_1_with Pb.root</t>
  </si>
  <si>
    <t>10.24_2_with Pb.root</t>
  </si>
  <si>
    <t>10.24_3_with Pb.root</t>
  </si>
  <si>
    <t>10.24_4_with Pb.root</t>
  </si>
  <si>
    <t>6 平均值</t>
  </si>
  <si>
    <t>10.25_1_with Pb.root</t>
  </si>
  <si>
    <t>10.25_2_with Pb.root</t>
  </si>
  <si>
    <t>10.25_3_with Pb.root</t>
  </si>
  <si>
    <t>10.25_4_with Pb.root</t>
  </si>
  <si>
    <t>7 平均值</t>
  </si>
  <si>
    <t>10.26_1_with Pb.root</t>
  </si>
  <si>
    <t>10.26_2_with Pb.root</t>
  </si>
  <si>
    <t>10.26_3_with Pb.root</t>
  </si>
  <si>
    <t>10.26_4_with Pb.root</t>
  </si>
  <si>
    <t>8 平均值</t>
  </si>
  <si>
    <t>10.27_1_with Pb.root</t>
  </si>
  <si>
    <t>10.27_2_with Pb.root</t>
  </si>
  <si>
    <t>10.27_3_with Pb.root</t>
  </si>
  <si>
    <t>10.27_4_with Pb.root</t>
  </si>
  <si>
    <t>9 平均值</t>
  </si>
  <si>
    <t>10.28_1_with Pb.root</t>
  </si>
  <si>
    <t>10.28_2_with Pb.root</t>
  </si>
  <si>
    <t>10.28_3_with Pb.root</t>
  </si>
  <si>
    <t>10.28_4_with Pb.root</t>
  </si>
  <si>
    <t>10 平均值</t>
  </si>
  <si>
    <t>10.29_1_with Pb.root</t>
  </si>
  <si>
    <t>10.29_2_with Pb.root</t>
  </si>
  <si>
    <t>10.29_3_with Pb.root</t>
  </si>
  <si>
    <t>10.29_4_with Pb.root</t>
  </si>
  <si>
    <t>11 平均值</t>
  </si>
  <si>
    <t>10.29_1_with Cu.root</t>
  </si>
  <si>
    <t>10.29_2_with Cu.root</t>
  </si>
  <si>
    <t>10.29_3_with Cu.root</t>
  </si>
  <si>
    <t>10.29_4_with Cu.root</t>
  </si>
  <si>
    <t>12 平均值</t>
  </si>
  <si>
    <t>10.30_1_with Cu.root</t>
  </si>
  <si>
    <t>10.30_2_with Cu.root</t>
  </si>
  <si>
    <t>10.30_3_with Cu.root</t>
  </si>
  <si>
    <t>10.30_4_with Cu.root</t>
  </si>
  <si>
    <t>13 平均值</t>
  </si>
  <si>
    <t>10.30_1_with Pb.root</t>
  </si>
  <si>
    <t>10.30_2_with Pb.root</t>
  </si>
  <si>
    <t>10.30_3_with Pb.root</t>
  </si>
  <si>
    <t>10.30_4_with Pb.root</t>
  </si>
  <si>
    <t>14 平均值</t>
  </si>
  <si>
    <t>10.31_1_with Cu.root</t>
  </si>
  <si>
    <t>10.31_2_with Cu.root</t>
  </si>
  <si>
    <t>10.31_3_with Cu.root</t>
  </si>
  <si>
    <t>10.31_4_with Cu.root</t>
  </si>
  <si>
    <t>15 平均值</t>
  </si>
  <si>
    <t>10.31_1_with Pb.root</t>
  </si>
  <si>
    <t>10.31_2_with Pb.root</t>
  </si>
  <si>
    <t>10.31_3_with Pb.root</t>
  </si>
  <si>
    <t>10.31_4_with Pb.root</t>
  </si>
  <si>
    <t>16 平均值</t>
  </si>
  <si>
    <t>11.01_1_with Cu.root</t>
  </si>
  <si>
    <t>11.01_2_with Cu.root</t>
  </si>
  <si>
    <t>11.01_3_with Cu.root</t>
  </si>
  <si>
    <t>11.01_4_with Cu.root</t>
  </si>
  <si>
    <t>17 平均值</t>
  </si>
  <si>
    <t>11.02_1_with Cu.root</t>
  </si>
  <si>
    <t>11.02_2_with Cu.root</t>
  </si>
  <si>
    <t>11.02_4_with Cu.root</t>
  </si>
  <si>
    <t>18 平均值</t>
  </si>
  <si>
    <t>11.03_1_with Cu.root</t>
  </si>
  <si>
    <t>11.03_2_with Cu.root</t>
  </si>
  <si>
    <t>11.03_3_with Cu.root</t>
  </si>
  <si>
    <t>11.03_4_with Cu.root</t>
  </si>
  <si>
    <t>19 平均值</t>
  </si>
  <si>
    <t>11.04_1_with Cu.root</t>
  </si>
  <si>
    <t>11.04_2_with Cu.root</t>
  </si>
  <si>
    <t>11.04_3_with Cu.root</t>
  </si>
  <si>
    <t>11.04_4_with Cu.root</t>
  </si>
  <si>
    <t>20 平均值</t>
  </si>
  <si>
    <t>11.04_3_with Pb.root</t>
  </si>
  <si>
    <t>11.04_4_with Pb.root</t>
  </si>
  <si>
    <t>21 平均值</t>
  </si>
  <si>
    <t>11.05_1_with Cu.root</t>
  </si>
  <si>
    <t>11.05_2_with Cu.root</t>
  </si>
  <si>
    <t>11.05_3_with Cu.root</t>
  </si>
  <si>
    <t>11.05_4_with Cu.root</t>
  </si>
  <si>
    <t>22 平均值</t>
  </si>
  <si>
    <t>11.05_3_with Pb.root</t>
  </si>
  <si>
    <t>11.05_4_with Pb.root</t>
  </si>
  <si>
    <t>23 平均值</t>
  </si>
  <si>
    <t>11.06_1_with Cu.root</t>
  </si>
  <si>
    <t>11.06_2_with Cu.root</t>
  </si>
  <si>
    <t>11.06_3_with Cu.root</t>
  </si>
  <si>
    <t>11.06_4_with Cu.root</t>
  </si>
  <si>
    <t>24 平均值</t>
  </si>
  <si>
    <t>11.06_3_with Pb.root</t>
  </si>
  <si>
    <t>11.06_4_with Pb.root</t>
  </si>
  <si>
    <t>25 平均值</t>
  </si>
  <si>
    <t>11.07_1_with Cu.root</t>
  </si>
  <si>
    <t>11.07_2_with Cu.root</t>
  </si>
  <si>
    <t>11.07_3_with Cu.root</t>
  </si>
  <si>
    <t>11.07_4_with Cu.root</t>
  </si>
  <si>
    <t>26 平均值</t>
  </si>
  <si>
    <t>11.08_1_with Cu.root</t>
  </si>
  <si>
    <t>11.08_2_with Cu.root</t>
  </si>
  <si>
    <t>11.08_3_with Cu.root</t>
  </si>
  <si>
    <t>11.08_4_with Cu.root</t>
  </si>
  <si>
    <t>27 平均值</t>
  </si>
  <si>
    <t>11.09_1_with Cu.root</t>
  </si>
  <si>
    <t>11.09_2_with Cu.root</t>
  </si>
  <si>
    <t>11.09_3_with Cu.root</t>
  </si>
  <si>
    <t>11.09_4_with Cu.root</t>
  </si>
  <si>
    <t>28 平均值</t>
  </si>
  <si>
    <t>11.10_1_with 12.5.root</t>
  </si>
  <si>
    <t>11.10_2_with 12.5.root</t>
  </si>
  <si>
    <t>11.10_3_with 12.5.root</t>
  </si>
  <si>
    <t>11.10_4_with 12.5.root</t>
  </si>
  <si>
    <t>29 平均值</t>
  </si>
  <si>
    <t>11.10_1_with Cu.root</t>
  </si>
  <si>
    <t>11.10_2_with Cu.root</t>
  </si>
  <si>
    <t>11.10_3_with Cu.root</t>
  </si>
  <si>
    <t>11.10_4_with Cu.root</t>
  </si>
  <si>
    <t>30 平均值</t>
  </si>
  <si>
    <t>11.10_1_with 12.5_1_L.root</t>
  </si>
  <si>
    <t>11.10_1_with 12.5_1_R.root</t>
  </si>
  <si>
    <t>11.10_1_with 12.5_4_L.root</t>
  </si>
  <si>
    <t>11.10_1_with 12.5_4_R.root</t>
  </si>
  <si>
    <t>11.10_2_with 12.5_2_L.root</t>
  </si>
  <si>
    <t>11.10_2_with 12.5_2_R.root</t>
  </si>
  <si>
    <t>11.10_2_with 12.5_3_L.root</t>
  </si>
  <si>
    <t>11.10_2_with 12.5_3_R.root</t>
  </si>
  <si>
    <t>11.10_3_with 12.5_8_L.root</t>
  </si>
  <si>
    <t>11.10_3_with 12.5_8_R.root</t>
  </si>
  <si>
    <t>11.10_3_with 12.5_9_L.root</t>
  </si>
  <si>
    <t>11.10_3_with 12.5_9_L_13h.root</t>
  </si>
  <si>
    <t>11.10_3_with 12.5_9_R.root</t>
  </si>
  <si>
    <t>11.10_4_with 12.5_5_L.root</t>
  </si>
  <si>
    <t>11.10_4_with 12.5_5_R.root</t>
  </si>
  <si>
    <t>11.10_4_with 12.5_6_L.root</t>
  </si>
  <si>
    <t>11.10_4_with 12.5_6_R.root</t>
  </si>
  <si>
    <t>31 平均值</t>
  </si>
  <si>
    <t>11.11_1_with Cu.root</t>
  </si>
  <si>
    <t>11.11_2_with Cu.root</t>
  </si>
  <si>
    <t>11.11_3_with Cu.root</t>
  </si>
  <si>
    <t>11.11_4_with Cu.root</t>
  </si>
  <si>
    <t>32 平均值</t>
  </si>
  <si>
    <t>11.11_1_with 12.5.root</t>
  </si>
  <si>
    <t>11.11_2_with 12.5.root</t>
  </si>
  <si>
    <t>11.11_3_with 12.5.root</t>
  </si>
  <si>
    <t>11.11_4_with 12.5.root</t>
  </si>
  <si>
    <t>33 平均值</t>
  </si>
  <si>
    <t>11.11_3_with 12.5_9_L_1h.root</t>
  </si>
  <si>
    <t>34 平均值</t>
  </si>
  <si>
    <t>11.12_1_with Cu.root</t>
  </si>
  <si>
    <t>11.12_2_with Cu.root</t>
  </si>
  <si>
    <t>11.12_3_with Cu.root</t>
  </si>
  <si>
    <t>11.12_4_with Cu.root</t>
  </si>
  <si>
    <t>35 平均值</t>
  </si>
  <si>
    <t>11.12_1_with 12.5.root</t>
  </si>
  <si>
    <t>11.12_2_with 12.5.root</t>
  </si>
  <si>
    <t>11.12_3_with 12.5.root</t>
  </si>
  <si>
    <t>11.12_4_with 12.5.root</t>
  </si>
  <si>
    <t>36 平均值</t>
  </si>
  <si>
    <t>11.13_1_with Cu.root</t>
  </si>
  <si>
    <t>11.13_2_with Cu.root</t>
  </si>
  <si>
    <t>11.13_3_with Cu.root</t>
  </si>
  <si>
    <t>11.13_4_with Cu.root</t>
  </si>
  <si>
    <t>37 平均值</t>
  </si>
  <si>
    <t>11.13_1_with 12.5.root</t>
  </si>
  <si>
    <t>11.13_2_with 12.5.root</t>
  </si>
  <si>
    <t>11.13_3_with 12.5.root</t>
  </si>
  <si>
    <t>11.13_4_with 12.5.root</t>
  </si>
  <si>
    <t>38 平均值</t>
  </si>
  <si>
    <t>11.13_3_with 12.5_9_L_19h.root</t>
  </si>
  <si>
    <t>11.14_1_with 12.5.root</t>
  </si>
  <si>
    <t>11.14_2_with 12.5.root</t>
  </si>
  <si>
    <t>11.14_3_with 12.5.root</t>
  </si>
  <si>
    <t>11.14_4_with 12.5.root</t>
  </si>
  <si>
    <t>39 平均值</t>
  </si>
  <si>
    <t>11.14_1_with Cu.root</t>
  </si>
  <si>
    <t>11.14_2_with Cu.root</t>
  </si>
  <si>
    <t>11.14_3_with Cu.root</t>
  </si>
  <si>
    <t>11.14_4_with Cu.root</t>
  </si>
  <si>
    <t>40 平均值</t>
  </si>
  <si>
    <t>11.15_1_with 12.5.root</t>
  </si>
  <si>
    <t>11.15_2_with 12.5.root</t>
  </si>
  <si>
    <t>11.15_3_with 12.5.root</t>
  </si>
  <si>
    <t>11.15_4_with 12.5.root</t>
  </si>
  <si>
    <t>41 平均值</t>
  </si>
  <si>
    <t>11.15_1_with Cu.root</t>
  </si>
  <si>
    <t>11.15_2_with Cu.root</t>
  </si>
  <si>
    <t>11.15_3_with Cu.root</t>
  </si>
  <si>
    <t>11.15_4_with Cu.root</t>
  </si>
  <si>
    <t>42 平均值</t>
  </si>
  <si>
    <t>11.16_1_with 12.5.root</t>
  </si>
  <si>
    <t>11.16_2_with 12.5.root</t>
  </si>
  <si>
    <t>11.16_3_with 12.5.root</t>
  </si>
  <si>
    <t>11.16_4_with 12.5.root</t>
  </si>
  <si>
    <t>43 平均值</t>
  </si>
  <si>
    <t>11.17_1_with 12.5.root</t>
  </si>
  <si>
    <t>11.17_2_with 12.5.root</t>
  </si>
  <si>
    <t>11.17_3_with 12.5.root</t>
  </si>
  <si>
    <t>11.17_4_with 12.5.root</t>
  </si>
  <si>
    <t>44 平均值</t>
  </si>
  <si>
    <t>总平均值</t>
  </si>
  <si>
    <t>11.18_1_with 12.5</t>
  </si>
  <si>
    <t>11.18_2_with 12.5</t>
  </si>
  <si>
    <t>11.18_3_with 12.5</t>
  </si>
  <si>
    <t>11.18_4_with 12.5</t>
  </si>
  <si>
    <t>11.19_1_with 12.5</t>
  </si>
  <si>
    <t>11.19_2_with 12.5</t>
  </si>
  <si>
    <t>11.19_3_with 12.5</t>
  </si>
  <si>
    <t>11.19_4_with 12.5</t>
  </si>
  <si>
    <t>11.20_1_with 12.5</t>
  </si>
  <si>
    <t>11.20_2_with 12.5</t>
  </si>
  <si>
    <t>11.20_3_with 12.5</t>
  </si>
  <si>
    <t>11.20_4_with 12.5</t>
  </si>
  <si>
    <t>11.21_1_with 12.5</t>
  </si>
  <si>
    <t>11.21_2_with 12.5</t>
  </si>
  <si>
    <t>11.21_3_with 12.5</t>
  </si>
  <si>
    <t>11.21_4_with 12.5</t>
  </si>
  <si>
    <t>11.22_1_with 12.5</t>
  </si>
  <si>
    <t>11.22_2_with 12.5</t>
  </si>
  <si>
    <t>11.22_3_with 12.5</t>
  </si>
  <si>
    <t>11.22_4_with 12.5</t>
  </si>
  <si>
    <t>11.23_1_with 12.5</t>
  </si>
  <si>
    <t>11.23_2_with 12.5</t>
  </si>
  <si>
    <t>11.23_3_with 12.5</t>
  </si>
  <si>
    <t>11.23_4_with 12.5</t>
  </si>
  <si>
    <t>11.24_1_with 12.5</t>
  </si>
  <si>
    <t>11.24_2_with 12.5</t>
  </si>
  <si>
    <t>11.24_3_with 12.5</t>
  </si>
  <si>
    <t>11.24_4_with 12.5</t>
  </si>
  <si>
    <t>11.25_1_with 0</t>
  </si>
  <si>
    <t>11.25_2_with 0</t>
  </si>
  <si>
    <t>11.25_3_with 0</t>
  </si>
  <si>
    <t>11.25_4_with 0</t>
  </si>
  <si>
    <t>11.26_1_with 0</t>
  </si>
  <si>
    <t>11.26_2_with 0</t>
  </si>
  <si>
    <t>11.26_3_with 0</t>
  </si>
  <si>
    <t>11.26_4_with 0</t>
  </si>
  <si>
    <t>11.27_1_with 0</t>
  </si>
  <si>
    <t>11.27_2_with 0</t>
  </si>
  <si>
    <t>11.27_3_with 0</t>
  </si>
  <si>
    <t>11.27_4_with 0</t>
  </si>
  <si>
    <t>11.28_1_with 0</t>
  </si>
  <si>
    <t>11.28_2_with 0</t>
  </si>
  <si>
    <t>11.28_3_with 0</t>
  </si>
  <si>
    <t>11.28_4_with 0</t>
  </si>
  <si>
    <t>11.25_1_with 12.5</t>
  </si>
  <si>
    <t>11.25_2_with 12.5</t>
  </si>
  <si>
    <t>11.25_3_with 12.5</t>
  </si>
  <si>
    <t>11.25_4_with 12.5</t>
  </si>
  <si>
    <t>11.26_1_with 12.5</t>
  </si>
  <si>
    <t>11.26_2_with 12.5</t>
  </si>
  <si>
    <t>11.26_3_with 12.5</t>
  </si>
  <si>
    <t>11.26_4_with 12.5</t>
  </si>
  <si>
    <t>11.27_1_with 12.5</t>
  </si>
  <si>
    <t>11.27_2_with 12.5</t>
  </si>
  <si>
    <t>11.27_3_with 12.5</t>
  </si>
  <si>
    <t>11.27_4_with 12.5</t>
  </si>
  <si>
    <t>11.28_1_with 12.5</t>
  </si>
  <si>
    <t>11.28_2_with 12.5</t>
  </si>
  <si>
    <t>11.28_3_with 12.5</t>
  </si>
  <si>
    <t>11.28_4_with 12.5</t>
  </si>
  <si>
    <t>11.29_1_with 0</t>
  </si>
  <si>
    <t>11.29_2_with 0</t>
  </si>
  <si>
    <t>11.29_3_with 0</t>
  </si>
  <si>
    <t>11.29_4_with 0</t>
  </si>
  <si>
    <t>11.30_1_with 0</t>
  </si>
  <si>
    <t>11.30_2_with 0</t>
  </si>
  <si>
    <t>11.30_3_with 0</t>
  </si>
  <si>
    <t>11.30_4_with 0</t>
  </si>
  <si>
    <t>12.01_1_with 0</t>
  </si>
  <si>
    <t>12.01_2_with 0</t>
  </si>
  <si>
    <t>12.01_3_with 0</t>
  </si>
  <si>
    <t>12.01_4_with 0</t>
  </si>
  <si>
    <t>12.02_1_with 0</t>
  </si>
  <si>
    <t>12.02_2_with 0</t>
  </si>
  <si>
    <t>12.02_3_with 0</t>
  </si>
  <si>
    <t>12.02_4_with 0</t>
  </si>
  <si>
    <t>12.02_1_with 0_0.5</t>
  </si>
  <si>
    <t>12.02_2_with 0_0.5</t>
  </si>
  <si>
    <t>12.02_3_with 0_0.5</t>
  </si>
  <si>
    <t>12.02_4_with 0_0.5</t>
  </si>
  <si>
    <t>12.03_1_with 0.root</t>
  </si>
  <si>
    <t>12.03_2_with 0.root</t>
  </si>
  <si>
    <t>12.03_3_with 0.root</t>
  </si>
  <si>
    <t>12.03_4_with 0.root</t>
  </si>
  <si>
    <t>12.04_1_with 0.root</t>
  </si>
  <si>
    <t>12.04_2_with 0.root</t>
  </si>
  <si>
    <t>12.04_3_with 0.root</t>
  </si>
  <si>
    <t>12.04_4_with 0.root</t>
  </si>
  <si>
    <t>12.05_1_with 0.root</t>
  </si>
  <si>
    <t>12.05_2_with 0.root</t>
  </si>
  <si>
    <t>12.05_3_with 0.root</t>
  </si>
  <si>
    <t>12.05_4_with 0.root</t>
  </si>
  <si>
    <t>12.03_1_with 0_0.5.</t>
  </si>
  <si>
    <t>12.03_2_with 0_0.5.</t>
  </si>
  <si>
    <t>12.03_3_with 0_0.5.</t>
  </si>
  <si>
    <t>12.03_4_with 0_0.5.</t>
  </si>
  <si>
    <t>12.04_1_with 0_0.5.</t>
  </si>
  <si>
    <t>12.04_2_with 0_0.5.</t>
  </si>
  <si>
    <t>12.04_3_with 0_0.5.</t>
  </si>
  <si>
    <t>12.04_4_with 0_0.5.</t>
  </si>
  <si>
    <t>12.05_1_with 0_0.5.</t>
  </si>
  <si>
    <t>12.05_2_with 0_0.5.</t>
  </si>
  <si>
    <t>12.05_3_with 0_0.5.</t>
  </si>
  <si>
    <t>12.05_4_with 0_0.5.</t>
  </si>
  <si>
    <t>12.06_1_with 0_0.5.</t>
  </si>
  <si>
    <t>12.06_2_with 0_0.5.</t>
  </si>
  <si>
    <t>12.06_3_with 0_0.5.</t>
  </si>
  <si>
    <t>12.06_4_with 0_0.5.</t>
  </si>
  <si>
    <t>12.07_1_with 0_0.5.</t>
  </si>
  <si>
    <t>12.07_2_with 0_0.5.</t>
  </si>
  <si>
    <t>12.07_3_with 0_0.5.</t>
  </si>
  <si>
    <t>12.07_4_with 0_0.5.</t>
  </si>
  <si>
    <t>12.08_1_with 0_0.5.</t>
  </si>
  <si>
    <t>12.08_2_with 0_0.5.</t>
  </si>
  <si>
    <t>12.08_3_with 0_0.5.</t>
  </si>
  <si>
    <t>12.08_4_with 0_0.5.</t>
  </si>
  <si>
    <t>12.09_1_with 0_0.5.root</t>
  </si>
  <si>
    <t>12.09_2_with 0_0.5.root</t>
  </si>
  <si>
    <t>12.09_3_with 0_0.5.root</t>
  </si>
  <si>
    <t>12.09_4_with 0_0.5.root</t>
  </si>
  <si>
    <t>12.10_1_with 0_0.5.root</t>
  </si>
  <si>
    <t>12.10_2_with 0_0.5.root</t>
  </si>
  <si>
    <t>12.10_3_with 0_0.5.root</t>
  </si>
  <si>
    <t>12.10_4_with 0_0.5.root</t>
  </si>
  <si>
    <t>12.10_1_with 1_0.5.root</t>
  </si>
  <si>
    <t>12.10_2_with 1_0.5.root</t>
  </si>
  <si>
    <t>12.10_3_with 1_0.5.root</t>
  </si>
  <si>
    <t>12.10_4_with 1_0.5.root</t>
  </si>
  <si>
    <t>12.11_1_with 1_0.5.root</t>
  </si>
  <si>
    <t>12.11_2_with 1_0.5.root</t>
  </si>
  <si>
    <t>12.11_3_with 1_0.5.root</t>
  </si>
  <si>
    <t>12.11_4_with 1_0.5.root</t>
  </si>
  <si>
    <t>12.12_1_with 1_0.5.root</t>
  </si>
  <si>
    <t>12.12_2_with 1_0.5.root</t>
  </si>
  <si>
    <t>12.12_3_with 1_0.5.root</t>
  </si>
  <si>
    <t>12.12_4_with 1_0.5.root</t>
  </si>
  <si>
    <t>12.13_1_with 1_0.5.root</t>
  </si>
  <si>
    <t>12.13_2_with 1_0.5.root</t>
  </si>
  <si>
    <t>12.13_3_with 1_0.5.root</t>
  </si>
  <si>
    <t>12.13_4_with 1_0.5.root</t>
  </si>
  <si>
    <t>12.14_1_with 1_0.5.root</t>
  </si>
  <si>
    <t>12.14_2_with 1_0.5.root</t>
  </si>
  <si>
    <t>12.14_3_with 1_0.5.root</t>
  </si>
  <si>
    <t>12.14_4_with 1_0.5.root</t>
  </si>
  <si>
    <t>12.15_1_with 1_0.5.root</t>
  </si>
  <si>
    <t>12.15_2_with 1_0.5.root</t>
  </si>
  <si>
    <t>12.15_3_with 1_0.5.root</t>
  </si>
  <si>
    <t>12.15_4_with 1_0.5.root</t>
  </si>
  <si>
    <t>12.16_1_with 1_0.5.root</t>
  </si>
  <si>
    <t>12.16_2_with 1_0.5.root</t>
  </si>
  <si>
    <t>12.16_3_with 1_0.5.root</t>
  </si>
  <si>
    <t>12.16_4_with 1_0.5.root</t>
  </si>
  <si>
    <t>12.17_1_with 1_0.5.root</t>
  </si>
  <si>
    <t>12.17_2_with 1_0.5.root</t>
  </si>
  <si>
    <t>12.17_3_with 1_0.5.root</t>
  </si>
  <si>
    <t>12.17_4_with 1_0.5.root</t>
  </si>
  <si>
    <t>12.18_1_with 1_0.5.root</t>
  </si>
  <si>
    <t>12.18_2_with 1_0.5.root</t>
  </si>
  <si>
    <t>12.18_3_with 1_0.5.root</t>
  </si>
  <si>
    <t>12.18_4_with 1_0.5.root</t>
  </si>
  <si>
    <t>12.19_1_with 1_0.5.root</t>
  </si>
  <si>
    <t>12.19_2_with 1_0.5.root</t>
  </si>
  <si>
    <t>12.19_3_with 1_0.5.root</t>
  </si>
  <si>
    <t>12.19_4_with 1_0.5.root</t>
  </si>
  <si>
    <t>12.20_1_with 1_0.5.root</t>
  </si>
  <si>
    <t>12.20_2_with 1_0.5.root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</si>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</sst>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9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10" borderId="4">
      <alignment vertical="center"/>
    </xf>
    <xf numFmtId="0" fontId="13" fillId="11" borderId="5">
      <alignment vertical="center"/>
    </xf>
    <xf numFmtId="0" fontId="14" fillId="11" borderId="4">
      <alignment vertical="center"/>
    </xf>
    <xf numFmtId="0" fontId="15" fillId="12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原始数据修正后!$A$2:$A$84</c:f>
              <c:numCache>
                <c:formatCode>General</c:formatCode>
                <c:ptCount val="83"/>
                <c:pt idx="0">
                  <c:v>0</c:v>
                </c:pt>
                <c:pt idx="1">
                  <c:v>36</c:v>
                </c:pt>
                <c:pt idx="2">
                  <c:v>59.5</c:v>
                </c:pt>
                <c:pt idx="3">
                  <c:v>83.5</c:v>
                </c:pt>
                <c:pt idx="4">
                  <c:v>107.5</c:v>
                </c:pt>
                <c:pt idx="5">
                  <c:v>131.5</c:v>
                </c:pt>
                <c:pt idx="6">
                  <c:v>155.5</c:v>
                </c:pt>
                <c:pt idx="7">
                  <c:v>179.7</c:v>
                </c:pt>
                <c:pt idx="8">
                  <c:v>203.7</c:v>
                </c:pt>
                <c:pt idx="9">
                  <c:v>227.7</c:v>
                </c:pt>
                <c:pt idx="10">
                  <c:v>251.7</c:v>
                </c:pt>
                <c:pt idx="11">
                  <c:v>275.9</c:v>
                </c:pt>
                <c:pt idx="12">
                  <c:v>299.9</c:v>
                </c:pt>
                <c:pt idx="13">
                  <c:v>398.4</c:v>
                </c:pt>
                <c:pt idx="14">
                  <c:v>422.9</c:v>
                </c:pt>
                <c:pt idx="15">
                  <c:v>446.9</c:v>
                </c:pt>
                <c:pt idx="16">
                  <c:v>254.7</c:v>
                </c:pt>
                <c:pt idx="17">
                  <c:v>275.7</c:v>
                </c:pt>
                <c:pt idx="18">
                  <c:v>300.2</c:v>
                </c:pt>
                <c:pt idx="19">
                  <c:v>321.7</c:v>
                </c:pt>
                <c:pt idx="20">
                  <c:v>345.7</c:v>
                </c:pt>
                <c:pt idx="21">
                  <c:v>369.7</c:v>
                </c:pt>
                <c:pt idx="22">
                  <c:v>393.7</c:v>
                </c:pt>
                <c:pt idx="23">
                  <c:v>417.7</c:v>
                </c:pt>
                <c:pt idx="24">
                  <c:v>441.7</c:v>
                </c:pt>
                <c:pt idx="25">
                  <c:v>465.7</c:v>
                </c:pt>
                <c:pt idx="26">
                  <c:v>490.7</c:v>
                </c:pt>
                <c:pt idx="27">
                  <c:v>514.7</c:v>
                </c:pt>
                <c:pt idx="28">
                  <c:v>538.7</c:v>
                </c:pt>
                <c:pt idx="29">
                  <c:v>564.7</c:v>
                </c:pt>
                <c:pt idx="30">
                  <c:v>590.7</c:v>
                </c:pt>
                <c:pt idx="31">
                  <c:v>612.7</c:v>
                </c:pt>
                <c:pt idx="32">
                  <c:v>634.7</c:v>
                </c:pt>
                <c:pt idx="33">
                  <c:v>658.7</c:v>
                </c:pt>
                <c:pt idx="34">
                  <c:v>541.7</c:v>
                </c:pt>
                <c:pt idx="35">
                  <c:v>562.7</c:v>
                </c:pt>
                <c:pt idx="36">
                  <c:v>588.7</c:v>
                </c:pt>
                <c:pt idx="37">
                  <c:v>612.7</c:v>
                </c:pt>
                <c:pt idx="38">
                  <c:v>636.7</c:v>
                </c:pt>
                <c:pt idx="39">
                  <c:v>657.7</c:v>
                </c:pt>
                <c:pt idx="40">
                  <c:v>684.7</c:v>
                </c:pt>
                <c:pt idx="41">
                  <c:v>706.7</c:v>
                </c:pt>
                <c:pt idx="42">
                  <c:v>729.7</c:v>
                </c:pt>
                <c:pt idx="43">
                  <c:v>754.7</c:v>
                </c:pt>
                <c:pt idx="44">
                  <c:v>777.7</c:v>
                </c:pt>
                <c:pt idx="45">
                  <c:v>801.7</c:v>
                </c:pt>
                <c:pt idx="46">
                  <c:v>827.7</c:v>
                </c:pt>
                <c:pt idx="47">
                  <c:v>853.7</c:v>
                </c:pt>
                <c:pt idx="48">
                  <c:v>873.7</c:v>
                </c:pt>
                <c:pt idx="49">
                  <c:v>897.7</c:v>
                </c:pt>
                <c:pt idx="50">
                  <c:v>922.7</c:v>
                </c:pt>
                <c:pt idx="51">
                  <c:v>945.7</c:v>
                </c:pt>
                <c:pt idx="52">
                  <c:v>971.7</c:v>
                </c:pt>
                <c:pt idx="53">
                  <c:v>898.7</c:v>
                </c:pt>
                <c:pt idx="54">
                  <c:v>921.7</c:v>
                </c:pt>
                <c:pt idx="55">
                  <c:v>947.7</c:v>
                </c:pt>
                <c:pt idx="56">
                  <c:v>969.7</c:v>
                </c:pt>
                <c:pt idx="57">
                  <c:v>994.7</c:v>
                </c:pt>
                <c:pt idx="58">
                  <c:v>1022.7</c:v>
                </c:pt>
                <c:pt idx="59">
                  <c:v>1043.7</c:v>
                </c:pt>
                <c:pt idx="60">
                  <c:v>1067.7</c:v>
                </c:pt>
                <c:pt idx="61">
                  <c:v>1092.7</c:v>
                </c:pt>
                <c:pt idx="62">
                  <c:v>1115.7</c:v>
                </c:pt>
                <c:pt idx="63">
                  <c:v>1139.7</c:v>
                </c:pt>
                <c:pt idx="64">
                  <c:v>1068.7</c:v>
                </c:pt>
                <c:pt idx="65">
                  <c:v>1090.7</c:v>
                </c:pt>
                <c:pt idx="66">
                  <c:v>1116.7</c:v>
                </c:pt>
                <c:pt idx="67">
                  <c:v>1138.7</c:v>
                </c:pt>
                <c:pt idx="68">
                  <c:v>1163.7</c:v>
                </c:pt>
                <c:pt idx="69">
                  <c:v>1187.7</c:v>
                </c:pt>
                <c:pt idx="70">
                  <c:v>1211.7</c:v>
                </c:pt>
                <c:pt idx="71">
                  <c:v>1235.7</c:v>
                </c:pt>
                <c:pt idx="72">
                  <c:v>1259.7</c:v>
                </c:pt>
                <c:pt idx="73">
                  <c:v>1284.7</c:v>
                </c:pt>
                <c:pt idx="74">
                  <c:v>1308.7</c:v>
                </c:pt>
                <c:pt idx="75">
                  <c:v>1333.7</c:v>
                </c:pt>
                <c:pt idx="76">
                  <c:v>1361.7</c:v>
                </c:pt>
                <c:pt idx="77">
                  <c:v>1375.7</c:v>
                </c:pt>
                <c:pt idx="78">
                  <c:v>1411.7</c:v>
                </c:pt>
                <c:pt idx="79">
                  <c:v>1430.7</c:v>
                </c:pt>
                <c:pt idx="80">
                  <c:v>1460.7</c:v>
                </c:pt>
                <c:pt idx="81">
                  <c:v>1471.7</c:v>
                </c:pt>
                <c:pt idx="82">
                  <c:v>1505.7</c:v>
                </c:pt>
              </c:numCache>
            </c:numRef>
          </c:xVal>
          <c:yVal>
            <c:numRef>
              <c:f>原始数据修正后!$B$2:$B$84</c:f>
              <c:numCache>
                <c:formatCode>General</c:formatCode>
                <c:ptCount val="83"/>
                <c:pt idx="0">
                  <c:v>7643.87892250661</c:v>
                </c:pt>
                <c:pt idx="1">
                  <c:v>5537.05375033</c:v>
                </c:pt>
                <c:pt idx="2">
                  <c:v>4992.23786088456</c:v>
                </c:pt>
                <c:pt idx="3">
                  <c:v>4315.9456889605</c:v>
                </c:pt>
                <c:pt idx="4">
                  <c:v>3326.19075167592</c:v>
                </c:pt>
                <c:pt idx="5">
                  <c:v>2949.33352441806</c:v>
                </c:pt>
                <c:pt idx="6">
                  <c:v>2547.40550743427</c:v>
                </c:pt>
                <c:pt idx="7">
                  <c:v>2179.97595186561</c:v>
                </c:pt>
                <c:pt idx="8">
                  <c:v>1913.77225828917</c:v>
                </c:pt>
                <c:pt idx="9">
                  <c:v>1605.56653715068</c:v>
                </c:pt>
                <c:pt idx="10">
                  <c:v>1426.5316886626</c:v>
                </c:pt>
                <c:pt idx="11">
                  <c:v>1255.1095034811</c:v>
                </c:pt>
                <c:pt idx="12">
                  <c:v>1068.95091224054</c:v>
                </c:pt>
                <c:pt idx="13">
                  <c:v>586.582290595605</c:v>
                </c:pt>
                <c:pt idx="14">
                  <c:v>513.721219074259</c:v>
                </c:pt>
                <c:pt idx="15">
                  <c:v>404.504896908865</c:v>
                </c:pt>
                <c:pt idx="16">
                  <c:v>1383.7848083082</c:v>
                </c:pt>
                <c:pt idx="17">
                  <c:v>1302.28182137893</c:v>
                </c:pt>
                <c:pt idx="18">
                  <c:v>1088.27004379366</c:v>
                </c:pt>
                <c:pt idx="19">
                  <c:v>915.215010401526</c:v>
                </c:pt>
                <c:pt idx="20">
                  <c:v>785.261599545481</c:v>
                </c:pt>
                <c:pt idx="21">
                  <c:v>662.099412491365</c:v>
                </c:pt>
                <c:pt idx="22">
                  <c:v>570.267585540303</c:v>
                </c:pt>
                <c:pt idx="23">
                  <c:v>496.514482305305</c:v>
                </c:pt>
                <c:pt idx="24">
                  <c:v>418.911686044373</c:v>
                </c:pt>
                <c:pt idx="25">
                  <c:v>348.552504096269</c:v>
                </c:pt>
                <c:pt idx="26">
                  <c:v>294.97802271467</c:v>
                </c:pt>
                <c:pt idx="27">
                  <c:v>247.163294476013</c:v>
                </c:pt>
                <c:pt idx="28">
                  <c:v>221.307798329139</c:v>
                </c:pt>
                <c:pt idx="29">
                  <c:v>185.305197233037</c:v>
                </c:pt>
                <c:pt idx="30">
                  <c:v>153.38386265795</c:v>
                </c:pt>
                <c:pt idx="31">
                  <c:v>136.683185506706</c:v>
                </c:pt>
                <c:pt idx="32">
                  <c:v>116.652463968809</c:v>
                </c:pt>
                <c:pt idx="33">
                  <c:v>103.332286422198</c:v>
                </c:pt>
                <c:pt idx="34">
                  <c:v>213.8574713309</c:v>
                </c:pt>
                <c:pt idx="35">
                  <c:v>187.335276390785</c:v>
                </c:pt>
                <c:pt idx="36">
                  <c:v>160.286590285537</c:v>
                </c:pt>
                <c:pt idx="37">
                  <c:v>138.195020996607</c:v>
                </c:pt>
                <c:pt idx="38">
                  <c:v>115.761637443546</c:v>
                </c:pt>
                <c:pt idx="39">
                  <c:v>100.674830610092</c:v>
                </c:pt>
                <c:pt idx="40">
                  <c:v>84.9497544872178</c:v>
                </c:pt>
                <c:pt idx="41">
                  <c:v>73.023514617371</c:v>
                </c:pt>
                <c:pt idx="42">
                  <c:v>64.0206056921072</c:v>
                </c:pt>
                <c:pt idx="43">
                  <c:v>55.3431313058377</c:v>
                </c:pt>
                <c:pt idx="44">
                  <c:v>47.1525487492029</c:v>
                </c:pt>
                <c:pt idx="45">
                  <c:v>39.9728292296211</c:v>
                </c:pt>
                <c:pt idx="46">
                  <c:v>34.7435569802506</c:v>
                </c:pt>
                <c:pt idx="47">
                  <c:v>29.17571041238</c:v>
                </c:pt>
                <c:pt idx="48">
                  <c:v>26.2921588002736</c:v>
                </c:pt>
                <c:pt idx="49">
                  <c:v>21.8906926597718</c:v>
                </c:pt>
                <c:pt idx="50">
                  <c:v>18.7349856146127</c:v>
                </c:pt>
                <c:pt idx="51">
                  <c:v>16.5528822317434</c:v>
                </c:pt>
                <c:pt idx="52">
                  <c:v>13.8734471944265</c:v>
                </c:pt>
                <c:pt idx="53">
                  <c:v>22.1260394851039</c:v>
                </c:pt>
                <c:pt idx="54">
                  <c:v>18.426072788188</c:v>
                </c:pt>
                <c:pt idx="55">
                  <c:v>16.399280711616</c:v>
                </c:pt>
                <c:pt idx="56">
                  <c:v>14.0817847139729</c:v>
                </c:pt>
                <c:pt idx="57">
                  <c:v>12.2117341172321</c:v>
                </c:pt>
                <c:pt idx="58">
                  <c:v>10.1214861474411</c:v>
                </c:pt>
                <c:pt idx="59">
                  <c:v>9.00694033064811</c:v>
                </c:pt>
                <c:pt idx="60">
                  <c:v>7.70528098256866</c:v>
                </c:pt>
                <c:pt idx="61">
                  <c:v>6.9913569873512</c:v>
                </c:pt>
                <c:pt idx="62">
                  <c:v>5.77123213454727</c:v>
                </c:pt>
                <c:pt idx="63">
                  <c:v>4.94847495494872</c:v>
                </c:pt>
                <c:pt idx="64">
                  <c:v>7.756</c:v>
                </c:pt>
                <c:pt idx="65">
                  <c:v>6.76275</c:v>
                </c:pt>
                <c:pt idx="66">
                  <c:v>5.705</c:v>
                </c:pt>
                <c:pt idx="67">
                  <c:v>5.1345</c:v>
                </c:pt>
                <c:pt idx="68">
                  <c:v>4.424</c:v>
                </c:pt>
                <c:pt idx="69">
                  <c:v>3.9295</c:v>
                </c:pt>
                <c:pt idx="70">
                  <c:v>3.49725</c:v>
                </c:pt>
                <c:pt idx="71">
                  <c:v>3.02333333333333</c:v>
                </c:pt>
                <c:pt idx="72">
                  <c:v>2.60857142857143</c:v>
                </c:pt>
                <c:pt idx="73">
                  <c:v>2.2495</c:v>
                </c:pt>
                <c:pt idx="74">
                  <c:v>1.998</c:v>
                </c:pt>
                <c:pt idx="75">
                  <c:v>1.773</c:v>
                </c:pt>
                <c:pt idx="76">
                  <c:v>1.605</c:v>
                </c:pt>
                <c:pt idx="77">
                  <c:v>1.5395</c:v>
                </c:pt>
                <c:pt idx="78">
                  <c:v>1.377</c:v>
                </c:pt>
                <c:pt idx="79">
                  <c:v>1.24075</c:v>
                </c:pt>
                <c:pt idx="80">
                  <c:v>1.13075</c:v>
                </c:pt>
                <c:pt idx="81">
                  <c:v>1.126</c:v>
                </c:pt>
                <c:pt idx="82">
                  <c:v>0.9415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原始数据修正后!$A$2:$A$84</c:f>
              <c:numCache>
                <c:formatCode>General</c:formatCode>
                <c:ptCount val="83"/>
                <c:pt idx="0">
                  <c:v>0</c:v>
                </c:pt>
                <c:pt idx="1">
                  <c:v>36</c:v>
                </c:pt>
                <c:pt idx="2">
                  <c:v>59.5</c:v>
                </c:pt>
                <c:pt idx="3">
                  <c:v>83.5</c:v>
                </c:pt>
                <c:pt idx="4">
                  <c:v>107.5</c:v>
                </c:pt>
                <c:pt idx="5">
                  <c:v>131.5</c:v>
                </c:pt>
                <c:pt idx="6">
                  <c:v>155.5</c:v>
                </c:pt>
                <c:pt idx="7">
                  <c:v>179.7</c:v>
                </c:pt>
                <c:pt idx="8">
                  <c:v>203.7</c:v>
                </c:pt>
                <c:pt idx="9">
                  <c:v>227.7</c:v>
                </c:pt>
                <c:pt idx="10">
                  <c:v>251.7</c:v>
                </c:pt>
                <c:pt idx="11">
                  <c:v>275.9</c:v>
                </c:pt>
                <c:pt idx="12">
                  <c:v>299.9</c:v>
                </c:pt>
                <c:pt idx="13">
                  <c:v>398.4</c:v>
                </c:pt>
                <c:pt idx="14">
                  <c:v>422.9</c:v>
                </c:pt>
                <c:pt idx="15">
                  <c:v>446.9</c:v>
                </c:pt>
                <c:pt idx="16">
                  <c:v>254.7</c:v>
                </c:pt>
                <c:pt idx="17">
                  <c:v>275.7</c:v>
                </c:pt>
                <c:pt idx="18">
                  <c:v>300.2</c:v>
                </c:pt>
                <c:pt idx="19">
                  <c:v>321.7</c:v>
                </c:pt>
                <c:pt idx="20">
                  <c:v>345.7</c:v>
                </c:pt>
                <c:pt idx="21">
                  <c:v>369.7</c:v>
                </c:pt>
                <c:pt idx="22">
                  <c:v>393.7</c:v>
                </c:pt>
                <c:pt idx="23">
                  <c:v>417.7</c:v>
                </c:pt>
                <c:pt idx="24">
                  <c:v>441.7</c:v>
                </c:pt>
                <c:pt idx="25">
                  <c:v>465.7</c:v>
                </c:pt>
                <c:pt idx="26">
                  <c:v>490.7</c:v>
                </c:pt>
                <c:pt idx="27">
                  <c:v>514.7</c:v>
                </c:pt>
                <c:pt idx="28">
                  <c:v>538.7</c:v>
                </c:pt>
                <c:pt idx="29">
                  <c:v>564.7</c:v>
                </c:pt>
                <c:pt idx="30">
                  <c:v>590.7</c:v>
                </c:pt>
                <c:pt idx="31">
                  <c:v>612.7</c:v>
                </c:pt>
                <c:pt idx="32">
                  <c:v>634.7</c:v>
                </c:pt>
                <c:pt idx="33">
                  <c:v>658.7</c:v>
                </c:pt>
                <c:pt idx="34">
                  <c:v>541.7</c:v>
                </c:pt>
                <c:pt idx="35">
                  <c:v>562.7</c:v>
                </c:pt>
                <c:pt idx="36">
                  <c:v>588.7</c:v>
                </c:pt>
                <c:pt idx="37">
                  <c:v>612.7</c:v>
                </c:pt>
                <c:pt idx="38">
                  <c:v>636.7</c:v>
                </c:pt>
                <c:pt idx="39">
                  <c:v>657.7</c:v>
                </c:pt>
                <c:pt idx="40">
                  <c:v>684.7</c:v>
                </c:pt>
                <c:pt idx="41">
                  <c:v>706.7</c:v>
                </c:pt>
                <c:pt idx="42">
                  <c:v>729.7</c:v>
                </c:pt>
                <c:pt idx="43">
                  <c:v>754.7</c:v>
                </c:pt>
                <c:pt idx="44">
                  <c:v>777.7</c:v>
                </c:pt>
                <c:pt idx="45">
                  <c:v>801.7</c:v>
                </c:pt>
                <c:pt idx="46">
                  <c:v>827.7</c:v>
                </c:pt>
                <c:pt idx="47">
                  <c:v>853.7</c:v>
                </c:pt>
                <c:pt idx="48">
                  <c:v>873.7</c:v>
                </c:pt>
                <c:pt idx="49">
                  <c:v>897.7</c:v>
                </c:pt>
                <c:pt idx="50">
                  <c:v>922.7</c:v>
                </c:pt>
                <c:pt idx="51">
                  <c:v>945.7</c:v>
                </c:pt>
                <c:pt idx="52">
                  <c:v>971.7</c:v>
                </c:pt>
                <c:pt idx="53">
                  <c:v>898.7</c:v>
                </c:pt>
                <c:pt idx="54">
                  <c:v>921.7</c:v>
                </c:pt>
                <c:pt idx="55">
                  <c:v>947.7</c:v>
                </c:pt>
                <c:pt idx="56">
                  <c:v>969.7</c:v>
                </c:pt>
                <c:pt idx="57">
                  <c:v>994.7</c:v>
                </c:pt>
                <c:pt idx="58">
                  <c:v>1022.7</c:v>
                </c:pt>
                <c:pt idx="59">
                  <c:v>1043.7</c:v>
                </c:pt>
                <c:pt idx="60">
                  <c:v>1067.7</c:v>
                </c:pt>
                <c:pt idx="61">
                  <c:v>1092.7</c:v>
                </c:pt>
                <c:pt idx="62">
                  <c:v>1115.7</c:v>
                </c:pt>
                <c:pt idx="63">
                  <c:v>1139.7</c:v>
                </c:pt>
                <c:pt idx="64">
                  <c:v>1068.7</c:v>
                </c:pt>
                <c:pt idx="65">
                  <c:v>1090.7</c:v>
                </c:pt>
                <c:pt idx="66">
                  <c:v>1116.7</c:v>
                </c:pt>
                <c:pt idx="67">
                  <c:v>1138.7</c:v>
                </c:pt>
                <c:pt idx="68">
                  <c:v>1163.7</c:v>
                </c:pt>
                <c:pt idx="69">
                  <c:v>1187.7</c:v>
                </c:pt>
                <c:pt idx="70">
                  <c:v>1211.7</c:v>
                </c:pt>
                <c:pt idx="71">
                  <c:v>1235.7</c:v>
                </c:pt>
                <c:pt idx="72">
                  <c:v>1259.7</c:v>
                </c:pt>
                <c:pt idx="73">
                  <c:v>1284.7</c:v>
                </c:pt>
                <c:pt idx="74">
                  <c:v>1308.7</c:v>
                </c:pt>
                <c:pt idx="75">
                  <c:v>1333.7</c:v>
                </c:pt>
                <c:pt idx="76">
                  <c:v>1361.7</c:v>
                </c:pt>
                <c:pt idx="77">
                  <c:v>1375.7</c:v>
                </c:pt>
                <c:pt idx="78">
                  <c:v>1411.7</c:v>
                </c:pt>
                <c:pt idx="79">
                  <c:v>1430.7</c:v>
                </c:pt>
                <c:pt idx="80">
                  <c:v>1460.7</c:v>
                </c:pt>
                <c:pt idx="81">
                  <c:v>1471.7</c:v>
                </c:pt>
                <c:pt idx="82">
                  <c:v>1505.7</c:v>
                </c:pt>
              </c:numCache>
            </c:numRef>
          </c:xVal>
          <c:yVal>
            <c:numRef>
              <c:f>原始数据修正后!$C$2:$C$84</c:f>
              <c:numCache>
                <c:formatCode>General</c:formatCode>
                <c:ptCount val="83"/>
                <c:pt idx="0">
                  <c:v>5579.80859653719</c:v>
                </c:pt>
                <c:pt idx="1">
                  <c:v>4989.58302811567</c:v>
                </c:pt>
                <c:pt idx="2">
                  <c:v>4095.69236074614</c:v>
                </c:pt>
                <c:pt idx="3">
                  <c:v>3626.78921350765</c:v>
                </c:pt>
                <c:pt idx="4">
                  <c:v>2851.35501248677</c:v>
                </c:pt>
                <c:pt idx="5">
                  <c:v>2425.84086920516</c:v>
                </c:pt>
                <c:pt idx="6">
                  <c:v>2189.3742011774</c:v>
                </c:pt>
                <c:pt idx="7">
                  <c:v>1770.56988696546</c:v>
                </c:pt>
                <c:pt idx="8">
                  <c:v>1703.80427983987</c:v>
                </c:pt>
                <c:pt idx="9">
                  <c:v>1410.69795872045</c:v>
                </c:pt>
                <c:pt idx="10">
                  <c:v>1209.81156791364</c:v>
                </c:pt>
                <c:pt idx="11">
                  <c:v>1101.94297198896</c:v>
                </c:pt>
                <c:pt idx="12">
                  <c:v>929.754270586884</c:v>
                </c:pt>
                <c:pt idx="13">
                  <c:v>509.576062164109</c:v>
                </c:pt>
                <c:pt idx="14">
                  <c:v>447.471642896769</c:v>
                </c:pt>
                <c:pt idx="15">
                  <c:v>377.716527752</c:v>
                </c:pt>
                <c:pt idx="16">
                  <c:v>1260.46035632693</c:v>
                </c:pt>
                <c:pt idx="17">
                  <c:v>1136.61796958885</c:v>
                </c:pt>
                <c:pt idx="18">
                  <c:v>928.234882096701</c:v>
                </c:pt>
                <c:pt idx="19">
                  <c:v>836.475285598045</c:v>
                </c:pt>
                <c:pt idx="20">
                  <c:v>686.18080085851</c:v>
                </c:pt>
                <c:pt idx="21">
                  <c:v>601.138712399546</c:v>
                </c:pt>
                <c:pt idx="22">
                  <c:v>507.69000344418</c:v>
                </c:pt>
                <c:pt idx="23">
                  <c:v>426.132534041467</c:v>
                </c:pt>
                <c:pt idx="24">
                  <c:v>370.045644950077</c:v>
                </c:pt>
                <c:pt idx="25">
                  <c:v>310.450585854698</c:v>
                </c:pt>
                <c:pt idx="26">
                  <c:v>263.236156707704</c:v>
                </c:pt>
                <c:pt idx="27">
                  <c:v>228.218011298571</c:v>
                </c:pt>
                <c:pt idx="28">
                  <c:v>201.307902413175</c:v>
                </c:pt>
                <c:pt idx="29">
                  <c:v>168.682877916335</c:v>
                </c:pt>
                <c:pt idx="30">
                  <c:v>143.994442474889</c:v>
                </c:pt>
                <c:pt idx="31">
                  <c:v>126.892557507638</c:v>
                </c:pt>
                <c:pt idx="32">
                  <c:v>108.93343519867</c:v>
                </c:pt>
                <c:pt idx="33">
                  <c:v>95.0247593293138</c:v>
                </c:pt>
                <c:pt idx="34">
                  <c:v>195.735390323979</c:v>
                </c:pt>
                <c:pt idx="35">
                  <c:v>171.021133550395</c:v>
                </c:pt>
                <c:pt idx="36">
                  <c:v>145.174319384801</c:v>
                </c:pt>
                <c:pt idx="37">
                  <c:v>128.493934637576</c:v>
                </c:pt>
                <c:pt idx="38">
                  <c:v>108.846381986139</c:v>
                </c:pt>
                <c:pt idx="39">
                  <c:v>94.4360793799143</c:v>
                </c:pt>
                <c:pt idx="40">
                  <c:v>81.3040433038527</c:v>
                </c:pt>
                <c:pt idx="41">
                  <c:v>70.1374248071991</c:v>
                </c:pt>
                <c:pt idx="42">
                  <c:v>60.1192469798198</c:v>
                </c:pt>
                <c:pt idx="43">
                  <c:v>53.1325060704504</c:v>
                </c:pt>
                <c:pt idx="44">
                  <c:v>46.0374645137837</c:v>
                </c:pt>
                <c:pt idx="45">
                  <c:v>39.2305296621017</c:v>
                </c:pt>
                <c:pt idx="46">
                  <c:v>33.6935824122782</c:v>
                </c:pt>
                <c:pt idx="47">
                  <c:v>29.6153823296481</c:v>
                </c:pt>
                <c:pt idx="48">
                  <c:v>26.8485644903971</c:v>
                </c:pt>
                <c:pt idx="49">
                  <c:v>22.5435217722329</c:v>
                </c:pt>
                <c:pt idx="50">
                  <c:v>20.3380152720042</c:v>
                </c:pt>
                <c:pt idx="51">
                  <c:v>17.9172566358673</c:v>
                </c:pt>
                <c:pt idx="52">
                  <c:v>16.1058271229166</c:v>
                </c:pt>
                <c:pt idx="53">
                  <c:v>23.1399178263022</c:v>
                </c:pt>
                <c:pt idx="54">
                  <c:v>20.5430339702947</c:v>
                </c:pt>
                <c:pt idx="55">
                  <c:v>17.7221514655437</c:v>
                </c:pt>
                <c:pt idx="56">
                  <c:v>15.6927665784821</c:v>
                </c:pt>
                <c:pt idx="57">
                  <c:v>14.2662488680628</c:v>
                </c:pt>
                <c:pt idx="58">
                  <c:v>12.545531975442</c:v>
                </c:pt>
                <c:pt idx="59">
                  <c:v>11.4405434258986</c:v>
                </c:pt>
                <c:pt idx="60">
                  <c:v>10.3725307298559</c:v>
                </c:pt>
                <c:pt idx="61">
                  <c:v>9.56156273520227</c:v>
                </c:pt>
                <c:pt idx="62">
                  <c:v>8.42245636914366</c:v>
                </c:pt>
                <c:pt idx="63">
                  <c:v>7.72848926358655</c:v>
                </c:pt>
                <c:pt idx="64">
                  <c:v>10.327</c:v>
                </c:pt>
                <c:pt idx="65">
                  <c:v>9.30775</c:v>
                </c:pt>
                <c:pt idx="66">
                  <c:v>8.5405</c:v>
                </c:pt>
                <c:pt idx="67">
                  <c:v>7.85925</c:v>
                </c:pt>
                <c:pt idx="68">
                  <c:v>7.193</c:v>
                </c:pt>
                <c:pt idx="69">
                  <c:v>6.66325</c:v>
                </c:pt>
                <c:pt idx="70">
                  <c:v>6.15925</c:v>
                </c:pt>
                <c:pt idx="71">
                  <c:v>5.84833333333333</c:v>
                </c:pt>
                <c:pt idx="72">
                  <c:v>5.33571428571429</c:v>
                </c:pt>
                <c:pt idx="73">
                  <c:v>4.91725</c:v>
                </c:pt>
                <c:pt idx="74">
                  <c:v>4.61325</c:v>
                </c:pt>
                <c:pt idx="75">
                  <c:v>4.39075</c:v>
                </c:pt>
                <c:pt idx="76">
                  <c:v>4.22525</c:v>
                </c:pt>
                <c:pt idx="77">
                  <c:v>4.088</c:v>
                </c:pt>
                <c:pt idx="78">
                  <c:v>3.8245</c:v>
                </c:pt>
                <c:pt idx="79">
                  <c:v>3.75575</c:v>
                </c:pt>
                <c:pt idx="80">
                  <c:v>3.588</c:v>
                </c:pt>
                <c:pt idx="81">
                  <c:v>3.5475</c:v>
                </c:pt>
                <c:pt idx="82">
                  <c:v>3.292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61573"/>
        <c:axId val="726356803"/>
      </c:scatterChart>
      <c:valAx>
        <c:axId val="748615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356803"/>
        <c:crosses val="autoZero"/>
        <c:crossBetween val="midCat"/>
      </c:valAx>
      <c:valAx>
        <c:axId val="7263568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615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492760</xdr:colOff>
      <xdr:row>2</xdr:row>
      <xdr:rowOff>22860</xdr:rowOff>
    </xdr:from>
    <xdr:to>
      <xdr:col>11</xdr:col>
      <xdr:colOff>441960</xdr:colOff>
      <xdr:row>17</xdr:row>
      <xdr:rowOff>22860</xdr:rowOff>
    </xdr:to>
    <xdr:graphicFrame>
      <xdr:nvGraphicFramePr>
        <xdr:cNvPr id="2" name="图表 1"/>
        <xdr:cNvGraphicFramePr/>
      </xdr:nvGraphicFramePr>
      <xdr:xfrm>
        <a:off x="2870200" y="4267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M11" sqref="M11"/>
    </sheetView>
  </sheetViews>
  <sheetFormatPr defaultColWidth="9" defaultRowHeight="14.4"/>
  <cols>
    <col min="1" max="1" width="13" customWidth="1"/>
    <col min="2" max="7" width="12.8888888888889" customWidth="1"/>
    <col min="8" max="9" width="13" customWidth="1"/>
    <col min="10" max="12" width="14.1111111111111" customWidth="1"/>
    <col min="13" max="14" width="12.8888888888889" customWidth="1"/>
  </cols>
  <sheetData>
    <row r="1" ht="22.2" spans="1:14">
      <c r="A1" s="3" t="s">
        <v>0</v>
      </c>
      <c r="B1" s="3" t="s">
        <v>1</v>
      </c>
      <c r="C1" s="3">
        <v>747</v>
      </c>
      <c r="D1" s="3" t="s">
        <v>2</v>
      </c>
      <c r="E1" s="3">
        <v>747</v>
      </c>
      <c r="F1" s="3" t="s">
        <v>2</v>
      </c>
      <c r="G1" s="23" t="s">
        <v>0</v>
      </c>
      <c r="H1" s="3" t="s">
        <v>1</v>
      </c>
      <c r="I1" s="3">
        <v>747</v>
      </c>
      <c r="J1" s="3" t="s">
        <v>2</v>
      </c>
      <c r="K1" s="3">
        <v>747</v>
      </c>
      <c r="L1" s="3" t="s">
        <v>2</v>
      </c>
      <c r="N1" t="s">
        <v>3</v>
      </c>
    </row>
    <row r="2" spans="1:14">
      <c r="A2" s="10" t="s">
        <v>4</v>
      </c>
      <c r="G2" s="11" t="s">
        <v>4</v>
      </c>
      <c r="H2" s="12">
        <v>0</v>
      </c>
      <c r="I2" s="12">
        <f t="shared" ref="I2:I14" si="0">LN(K2)</f>
        <v>2.65632709255594</v>
      </c>
      <c r="J2" s="12">
        <f t="shared" ref="J2:J14" si="1">LN((L2))</f>
        <v>1.32932386422121</v>
      </c>
      <c r="K2" s="12">
        <v>14.2438764643237</v>
      </c>
      <c r="L2" s="12">
        <v>3.77848775292865</v>
      </c>
      <c r="N2" s="12" t="s">
        <v>5</v>
      </c>
    </row>
    <row r="3" spans="1:14">
      <c r="A3" s="10" t="s">
        <v>6</v>
      </c>
      <c r="G3" s="11" t="s">
        <v>6</v>
      </c>
      <c r="H3" s="12">
        <v>36</v>
      </c>
      <c r="I3" s="12">
        <f t="shared" si="0"/>
        <v>2.33388445112596</v>
      </c>
      <c r="J3" s="12">
        <f t="shared" si="1"/>
        <v>1.21752173488425</v>
      </c>
      <c r="K3" s="12">
        <v>10.3179433368311</v>
      </c>
      <c r="L3" s="12">
        <v>3.3788037775446</v>
      </c>
      <c r="N3" s="13" t="s">
        <v>7</v>
      </c>
    </row>
    <row r="4" spans="1:14">
      <c r="A4" s="10" t="s">
        <v>8</v>
      </c>
      <c r="G4" s="11" t="s">
        <v>8</v>
      </c>
      <c r="H4" s="12">
        <v>59.5</v>
      </c>
      <c r="I4" s="12">
        <f t="shared" si="0"/>
        <v>2.23030618419621</v>
      </c>
      <c r="J4" s="12">
        <f t="shared" si="1"/>
        <v>1.02010516778895</v>
      </c>
      <c r="K4" s="12">
        <v>9.30271398747391</v>
      </c>
      <c r="L4" s="12">
        <v>2.77348643006263</v>
      </c>
      <c r="N4" s="4" t="s">
        <v>9</v>
      </c>
    </row>
    <row r="5" spans="1:14">
      <c r="A5" s="10" t="s">
        <v>10</v>
      </c>
      <c r="G5" s="11" t="s">
        <v>10</v>
      </c>
      <c r="H5" s="12">
        <v>83.5</v>
      </c>
      <c r="I5" s="12">
        <f t="shared" si="0"/>
        <v>2.08473836951515</v>
      </c>
      <c r="J5" s="12">
        <f t="shared" si="1"/>
        <v>0.898517132790192</v>
      </c>
      <c r="K5" s="12">
        <v>8.04248704663213</v>
      </c>
      <c r="L5" s="12">
        <v>2.4559585492228</v>
      </c>
      <c r="N5" s="14" t="s">
        <v>11</v>
      </c>
    </row>
    <row r="6" spans="1:14">
      <c r="A6" s="10" t="s">
        <v>12</v>
      </c>
      <c r="G6" s="11" t="s">
        <v>12</v>
      </c>
      <c r="H6" s="12">
        <v>107.5</v>
      </c>
      <c r="I6" s="12">
        <f t="shared" si="0"/>
        <v>1.82424963665251</v>
      </c>
      <c r="J6" s="12">
        <f t="shared" si="1"/>
        <v>0.657963714383321</v>
      </c>
      <c r="K6" s="12">
        <v>6.19814241486068</v>
      </c>
      <c r="L6" s="12">
        <v>1.93085655314757</v>
      </c>
      <c r="N6" s="15" t="s">
        <v>13</v>
      </c>
    </row>
    <row r="7" spans="1:14">
      <c r="A7" s="10" t="s">
        <v>14</v>
      </c>
      <c r="G7" s="11" t="s">
        <v>14</v>
      </c>
      <c r="H7" s="12">
        <v>131.5</v>
      </c>
      <c r="I7" s="12">
        <f t="shared" si="0"/>
        <v>1.70400112675085</v>
      </c>
      <c r="J7" s="12">
        <f t="shared" si="1"/>
        <v>0.496347604585337</v>
      </c>
      <c r="K7" s="12">
        <v>5.4958932238193</v>
      </c>
      <c r="L7" s="12">
        <v>1.64271047227926</v>
      </c>
    </row>
    <row r="8" spans="1:14">
      <c r="A8" s="10" t="s">
        <v>15</v>
      </c>
      <c r="G8" s="11" t="s">
        <v>15</v>
      </c>
      <c r="H8" s="12">
        <v>155.5</v>
      </c>
      <c r="I8" s="12">
        <f t="shared" si="0"/>
        <v>1.55749729900356</v>
      </c>
      <c r="J8" s="12">
        <f t="shared" si="1"/>
        <v>0.393785140218388</v>
      </c>
      <c r="K8" s="12">
        <v>4.7469262295082</v>
      </c>
      <c r="L8" s="12">
        <v>1.48258196721311</v>
      </c>
    </row>
    <row r="9" spans="1:14">
      <c r="A9" s="10" t="s">
        <v>16</v>
      </c>
      <c r="G9" s="11" t="s">
        <v>16</v>
      </c>
      <c r="H9" s="12">
        <v>179.7</v>
      </c>
      <c r="I9" s="12">
        <f t="shared" si="0"/>
        <v>1.4017357513357</v>
      </c>
      <c r="J9" s="12">
        <f t="shared" si="1"/>
        <v>0.181470854913638</v>
      </c>
      <c r="K9" s="12">
        <v>4.06224489795918</v>
      </c>
      <c r="L9" s="12">
        <v>1.19897959183673</v>
      </c>
    </row>
    <row r="10" spans="1:14">
      <c r="A10" s="10" t="s">
        <v>17</v>
      </c>
      <c r="G10" s="11" t="s">
        <v>17</v>
      </c>
      <c r="H10" s="12">
        <v>203.7</v>
      </c>
      <c r="I10" s="12">
        <f t="shared" si="0"/>
        <v>1.27149820449133</v>
      </c>
      <c r="J10" s="12">
        <f t="shared" si="1"/>
        <v>0.14303295267354</v>
      </c>
      <c r="K10" s="12">
        <v>3.56619144602851</v>
      </c>
      <c r="L10" s="12">
        <v>1.15376782077393</v>
      </c>
    </row>
    <row r="11" spans="1:14">
      <c r="A11" s="10" t="s">
        <v>18</v>
      </c>
      <c r="G11" s="11" t="s">
        <v>18</v>
      </c>
      <c r="H11" s="12">
        <v>227.7</v>
      </c>
      <c r="I11" s="12">
        <f t="shared" si="0"/>
        <v>1.09589858279651</v>
      </c>
      <c r="J11" s="12">
        <f t="shared" si="1"/>
        <v>-0.0457460217882043</v>
      </c>
      <c r="K11" s="12">
        <v>2.99186991869919</v>
      </c>
      <c r="L11" s="12">
        <v>0.955284552845528</v>
      </c>
    </row>
    <row r="12" spans="1:14">
      <c r="A12" s="16" t="s">
        <v>19</v>
      </c>
      <c r="B12" s="17">
        <v>254.7</v>
      </c>
      <c r="C12" s="17">
        <f t="shared" ref="C12:C29" si="2">LN(E12)</f>
        <v>3.02380939612588</v>
      </c>
      <c r="D12" s="17">
        <f t="shared" ref="D12:D29" si="3">LN((F12))</f>
        <v>2.68810256329251</v>
      </c>
      <c r="E12" s="17">
        <v>20.5695</v>
      </c>
      <c r="F12" s="17">
        <v>14.70375</v>
      </c>
      <c r="G12" s="11" t="s">
        <v>19</v>
      </c>
      <c r="H12" s="12">
        <v>251.7</v>
      </c>
      <c r="I12" s="12">
        <f t="shared" si="0"/>
        <v>0.977668011549058</v>
      </c>
      <c r="J12" s="12">
        <f t="shared" si="1"/>
        <v>-0.199365991403213</v>
      </c>
      <c r="K12" s="12">
        <v>2.65825</v>
      </c>
      <c r="L12" s="12">
        <v>0.81925</v>
      </c>
    </row>
    <row r="13" spans="1:14">
      <c r="A13" s="16" t="s">
        <v>20</v>
      </c>
      <c r="B13" s="17">
        <v>275.7</v>
      </c>
      <c r="C13" s="17">
        <f t="shared" si="2"/>
        <v>2.96310500938181</v>
      </c>
      <c r="D13" s="17">
        <f t="shared" si="3"/>
        <v>2.58468270659903</v>
      </c>
      <c r="E13" s="17">
        <v>19.3579852618874</v>
      </c>
      <c r="F13" s="17">
        <v>13.2590814034355</v>
      </c>
      <c r="G13" s="11" t="s">
        <v>21</v>
      </c>
      <c r="H13" s="12">
        <v>275.9</v>
      </c>
      <c r="I13" s="12">
        <f t="shared" si="0"/>
        <v>0.849644728397017</v>
      </c>
      <c r="J13" s="12">
        <f t="shared" si="1"/>
        <v>-0.292755650052483</v>
      </c>
      <c r="K13" s="12">
        <v>2.33881578947368</v>
      </c>
      <c r="L13" s="12">
        <v>0.746204453441295</v>
      </c>
    </row>
    <row r="14" spans="1:14">
      <c r="A14" s="16" t="s">
        <v>22</v>
      </c>
      <c r="B14" s="17">
        <v>300.2</v>
      </c>
      <c r="C14" s="17">
        <f t="shared" si="2"/>
        <v>2.7835763559989</v>
      </c>
      <c r="D14" s="17">
        <f t="shared" si="3"/>
        <v>2.38215507437927</v>
      </c>
      <c r="E14" s="17">
        <v>16.1767715120254</v>
      </c>
      <c r="F14" s="17">
        <v>10.8282133421492</v>
      </c>
      <c r="G14" s="11" t="s">
        <v>23</v>
      </c>
      <c r="H14" s="12">
        <v>299.9</v>
      </c>
      <c r="I14" s="12">
        <f t="shared" si="0"/>
        <v>0.689099617512473</v>
      </c>
      <c r="J14" s="12">
        <f t="shared" si="1"/>
        <v>-0.462665562811703</v>
      </c>
      <c r="K14" s="12">
        <v>1.9919212345906</v>
      </c>
      <c r="L14" s="12">
        <v>0.629603160012665</v>
      </c>
    </row>
    <row r="15" spans="1:14">
      <c r="A15" s="16" t="s">
        <v>24</v>
      </c>
      <c r="B15" s="17">
        <v>321.7</v>
      </c>
      <c r="C15" s="17">
        <f t="shared" si="2"/>
        <v>2.61039077908028</v>
      </c>
      <c r="D15" s="17">
        <f t="shared" si="3"/>
        <v>2.27806724289038</v>
      </c>
      <c r="E15" s="17">
        <v>13.6043661148947</v>
      </c>
      <c r="F15" s="17">
        <v>9.75780270983959</v>
      </c>
      <c r="G15" s="11"/>
      <c r="H15" s="12"/>
      <c r="I15" s="12"/>
      <c r="J15" s="12"/>
      <c r="K15" s="12"/>
      <c r="L15" s="12"/>
    </row>
    <row r="16" spans="1:14">
      <c r="A16" s="16" t="s">
        <v>25</v>
      </c>
      <c r="B16" s="17">
        <v>345.7</v>
      </c>
      <c r="C16" s="17">
        <f t="shared" si="2"/>
        <v>2.45724866746013</v>
      </c>
      <c r="D16" s="17">
        <f t="shared" si="3"/>
        <v>2.0800114190146</v>
      </c>
      <c r="E16" s="17">
        <v>11.6726519722373</v>
      </c>
      <c r="F16" s="17">
        <v>8.00456031796561</v>
      </c>
      <c r="G16" s="11"/>
      <c r="H16" s="12"/>
      <c r="I16" s="12"/>
      <c r="J16" s="12"/>
      <c r="K16" s="12"/>
      <c r="L16" s="12"/>
    </row>
    <row r="17" spans="1:12">
      <c r="A17" s="16" t="s">
        <v>26</v>
      </c>
      <c r="B17" s="17">
        <v>369.7</v>
      </c>
      <c r="C17" s="17">
        <f t="shared" si="2"/>
        <v>2.28664747195297</v>
      </c>
      <c r="D17" s="17">
        <f t="shared" si="3"/>
        <v>1.94769597847711</v>
      </c>
      <c r="E17" s="17">
        <v>9.84188710807687</v>
      </c>
      <c r="F17" s="17">
        <v>7.01251197475365</v>
      </c>
      <c r="G17" s="11"/>
      <c r="H17" s="12"/>
      <c r="I17" s="12"/>
      <c r="J17" s="12"/>
      <c r="K17" s="12"/>
      <c r="L17" s="12"/>
    </row>
    <row r="18" spans="1:12">
      <c r="A18" s="16" t="s">
        <v>27</v>
      </c>
      <c r="B18" s="17">
        <v>393.7</v>
      </c>
      <c r="C18" s="17">
        <f t="shared" si="2"/>
        <v>2.13733745635233</v>
      </c>
      <c r="D18" s="17">
        <f t="shared" si="3"/>
        <v>1.77874129978339</v>
      </c>
      <c r="E18" s="17">
        <v>8.47683760534439</v>
      </c>
      <c r="F18" s="17">
        <v>5.9223972024759</v>
      </c>
      <c r="G18" s="11" t="s">
        <v>28</v>
      </c>
      <c r="H18" s="12">
        <v>398.4</v>
      </c>
      <c r="I18" s="12">
        <f t="shared" ref="I18:I20" si="4">LN(K18)</f>
        <v>0.0889795930399069</v>
      </c>
      <c r="J18" s="12">
        <f t="shared" ref="J18:J20" si="5">LN((L18))</f>
        <v>-1.06400675949064</v>
      </c>
      <c r="K18" s="12">
        <v>1.0930583501006</v>
      </c>
      <c r="L18" s="12">
        <v>0.345070422535211</v>
      </c>
    </row>
    <row r="19" spans="1:12">
      <c r="A19" s="16" t="s">
        <v>29</v>
      </c>
      <c r="B19" s="17">
        <v>417.7</v>
      </c>
      <c r="C19" s="17">
        <f t="shared" si="2"/>
        <v>1.99884440921579</v>
      </c>
      <c r="D19" s="17">
        <f t="shared" si="3"/>
        <v>1.60362067856849</v>
      </c>
      <c r="E19" s="17">
        <v>7.38052230553486</v>
      </c>
      <c r="F19" s="17">
        <v>4.97099826738785</v>
      </c>
      <c r="G19" s="11" t="s">
        <v>30</v>
      </c>
      <c r="H19" s="12">
        <v>422.9</v>
      </c>
      <c r="I19" s="12">
        <f t="shared" si="4"/>
        <v>-0.0436526301577368</v>
      </c>
      <c r="J19" s="12">
        <f t="shared" si="5"/>
        <v>-1.19397272099135</v>
      </c>
      <c r="K19" s="12">
        <v>0.957286432160804</v>
      </c>
      <c r="L19" s="12">
        <v>0.303015075376884</v>
      </c>
    </row>
    <row r="20" spans="1:12">
      <c r="A20" s="16" t="s">
        <v>31</v>
      </c>
      <c r="B20" s="17">
        <v>441.7</v>
      </c>
      <c r="C20" s="17">
        <f t="shared" si="2"/>
        <v>1.82889188190637</v>
      </c>
      <c r="D20" s="17">
        <f t="shared" si="3"/>
        <v>1.46249663067067</v>
      </c>
      <c r="E20" s="17">
        <v>6.22698260188629</v>
      </c>
      <c r="F20" s="17">
        <v>4.31672335002295</v>
      </c>
      <c r="G20" s="11" t="s">
        <v>32</v>
      </c>
      <c r="H20" s="12">
        <v>446.9</v>
      </c>
      <c r="I20" s="12">
        <f t="shared" si="4"/>
        <v>-0.282669530628237</v>
      </c>
      <c r="J20" s="12">
        <f t="shared" si="5"/>
        <v>-1.36344190116801</v>
      </c>
      <c r="K20" s="12">
        <v>0.753768844221105</v>
      </c>
      <c r="L20" s="12">
        <v>0.255778894472362</v>
      </c>
    </row>
    <row r="21" spans="1:12">
      <c r="A21" s="16" t="s">
        <v>33</v>
      </c>
      <c r="B21" s="17">
        <v>465.7</v>
      </c>
      <c r="C21" s="17">
        <f t="shared" si="2"/>
        <v>1.6450206335948</v>
      </c>
      <c r="D21" s="17">
        <f t="shared" si="3"/>
        <v>1.28689501283489</v>
      </c>
      <c r="E21" s="17">
        <v>5.1811168109105</v>
      </c>
      <c r="F21" s="17">
        <v>3.62152429376132</v>
      </c>
      <c r="G21" s="18"/>
    </row>
    <row r="22" spans="1:12">
      <c r="A22" s="16" t="s">
        <v>34</v>
      </c>
      <c r="B22" s="17">
        <v>490.7</v>
      </c>
      <c r="C22" s="17">
        <f t="shared" si="2"/>
        <v>1.47813261165611</v>
      </c>
      <c r="D22" s="17">
        <f t="shared" si="3"/>
        <v>1.12192183143707</v>
      </c>
      <c r="E22" s="17">
        <v>4.38475</v>
      </c>
      <c r="F22" s="17">
        <v>3.07075</v>
      </c>
      <c r="G22" s="18"/>
    </row>
    <row r="23" spans="1:12">
      <c r="A23" s="16" t="s">
        <v>35</v>
      </c>
      <c r="B23" s="17">
        <v>514.7</v>
      </c>
      <c r="C23" s="17">
        <f t="shared" si="2"/>
        <v>1.30128098679293</v>
      </c>
      <c r="D23" s="17">
        <f t="shared" si="3"/>
        <v>0.979171629913356</v>
      </c>
      <c r="E23" s="17">
        <v>3.674</v>
      </c>
      <c r="F23" s="17">
        <v>2.66225</v>
      </c>
      <c r="G23" s="18"/>
    </row>
    <row r="24" spans="1:12">
      <c r="A24" s="16" t="s">
        <v>36</v>
      </c>
      <c r="B24" s="17">
        <v>538.7</v>
      </c>
      <c r="C24" s="17">
        <f t="shared" si="2"/>
        <v>1.19078624252176</v>
      </c>
      <c r="D24" s="17">
        <f t="shared" si="3"/>
        <v>0.853705856682532</v>
      </c>
      <c r="E24" s="17">
        <v>3.28966666666667</v>
      </c>
      <c r="F24" s="17">
        <v>2.34833333333333</v>
      </c>
      <c r="G24" s="19" t="s">
        <v>37</v>
      </c>
      <c r="H24" s="4">
        <v>615.7</v>
      </c>
      <c r="I24" s="4">
        <f t="shared" ref="I24:I42" si="6">LN(K24)</f>
        <v>3.49660604146565</v>
      </c>
      <c r="J24" s="4">
        <f t="shared" ref="J24:J42" si="7">LN((L24))</f>
        <v>3.38619372088394</v>
      </c>
      <c r="K24" s="4">
        <v>33.00325</v>
      </c>
      <c r="L24" s="4">
        <v>29.55325</v>
      </c>
    </row>
    <row r="25" spans="1:12">
      <c r="A25" s="16" t="s">
        <v>38</v>
      </c>
      <c r="B25" s="17">
        <v>564.7</v>
      </c>
      <c r="C25" s="17">
        <f t="shared" si="2"/>
        <v>1.01323593793063</v>
      </c>
      <c r="D25" s="17">
        <f t="shared" si="3"/>
        <v>0.676890758040423</v>
      </c>
      <c r="E25" s="17">
        <v>2.7545</v>
      </c>
      <c r="F25" s="17">
        <v>1.96775</v>
      </c>
      <c r="G25" s="19" t="s">
        <v>39</v>
      </c>
      <c r="H25" s="4">
        <v>636.7</v>
      </c>
      <c r="I25" s="4">
        <f t="shared" si="6"/>
        <v>3.36419620351767</v>
      </c>
      <c r="J25" s="4">
        <f t="shared" si="7"/>
        <v>3.25121716003886</v>
      </c>
      <c r="K25" s="4">
        <v>28.91025</v>
      </c>
      <c r="L25" s="4">
        <v>25.82175</v>
      </c>
    </row>
    <row r="26" spans="1:12">
      <c r="A26" s="16" t="s">
        <v>40</v>
      </c>
      <c r="B26" s="17">
        <v>590.7</v>
      </c>
      <c r="C26" s="17">
        <f t="shared" si="2"/>
        <v>0.824175442966349</v>
      </c>
      <c r="D26" s="17">
        <f t="shared" si="3"/>
        <v>0.518644972818122</v>
      </c>
      <c r="E26" s="17">
        <v>2.28</v>
      </c>
      <c r="F26" s="17">
        <v>1.67975</v>
      </c>
      <c r="G26" s="19" t="s">
        <v>41</v>
      </c>
      <c r="H26" s="4">
        <v>662.7</v>
      </c>
      <c r="I26" s="4">
        <f t="shared" si="6"/>
        <v>3.20825967240501</v>
      </c>
      <c r="J26" s="4">
        <f t="shared" si="7"/>
        <v>3.08736524616599</v>
      </c>
      <c r="K26" s="4">
        <v>24.736</v>
      </c>
      <c r="L26" s="4">
        <v>21.91925</v>
      </c>
    </row>
    <row r="27" spans="1:12">
      <c r="A27" s="16" t="s">
        <v>42</v>
      </c>
      <c r="B27" s="17">
        <v>612.7</v>
      </c>
      <c r="C27" s="17">
        <f t="shared" si="2"/>
        <v>0.708897490651177</v>
      </c>
      <c r="D27" s="17">
        <f t="shared" si="3"/>
        <v>0.392210992429748</v>
      </c>
      <c r="E27" s="17">
        <v>2.03175</v>
      </c>
      <c r="F27" s="17">
        <v>1.48025</v>
      </c>
      <c r="G27" s="19" t="s">
        <v>42</v>
      </c>
      <c r="H27" s="4">
        <v>686.7</v>
      </c>
      <c r="I27" s="4">
        <f t="shared" si="6"/>
        <v>3.05996215331671</v>
      </c>
      <c r="J27" s="4">
        <f t="shared" si="7"/>
        <v>2.96531172511583</v>
      </c>
      <c r="K27" s="4">
        <v>21.32675</v>
      </c>
      <c r="L27" s="4">
        <v>19.40075</v>
      </c>
    </row>
    <row r="28" spans="1:12">
      <c r="A28" s="16" t="s">
        <v>43</v>
      </c>
      <c r="B28" s="17">
        <v>634.7</v>
      </c>
      <c r="C28" s="17">
        <f t="shared" si="2"/>
        <v>0.55043087835835</v>
      </c>
      <c r="D28" s="17">
        <f t="shared" si="3"/>
        <v>0.239607277344875</v>
      </c>
      <c r="E28" s="17">
        <v>1.734</v>
      </c>
      <c r="F28" s="17">
        <v>1.27075</v>
      </c>
      <c r="G28" s="19" t="s">
        <v>44</v>
      </c>
      <c r="H28" s="4">
        <v>710.7</v>
      </c>
      <c r="I28" s="4">
        <f t="shared" si="6"/>
        <v>2.88282949753475</v>
      </c>
      <c r="J28" s="4">
        <f t="shared" si="7"/>
        <v>2.7993675717579</v>
      </c>
      <c r="K28" s="4">
        <v>17.86475</v>
      </c>
      <c r="L28" s="4">
        <v>16.43425</v>
      </c>
    </row>
    <row r="29" spans="1:12">
      <c r="A29" s="16" t="s">
        <v>45</v>
      </c>
      <c r="B29" s="17">
        <v>658.7</v>
      </c>
      <c r="C29" s="17">
        <f t="shared" si="2"/>
        <v>0.42918163472548</v>
      </c>
      <c r="D29" s="17">
        <f t="shared" si="3"/>
        <v>0.103007750074229</v>
      </c>
      <c r="E29" s="17">
        <v>1.536</v>
      </c>
      <c r="F29" s="17">
        <v>1.1085</v>
      </c>
      <c r="G29" s="19" t="s">
        <v>46</v>
      </c>
      <c r="H29" s="4">
        <v>731.7</v>
      </c>
      <c r="I29" s="4">
        <f t="shared" si="6"/>
        <v>2.74319209434727</v>
      </c>
      <c r="J29" s="4">
        <f t="shared" si="7"/>
        <v>2.65735322011255</v>
      </c>
      <c r="K29" s="4">
        <v>15.5365</v>
      </c>
      <c r="L29" s="4">
        <v>14.2585</v>
      </c>
    </row>
    <row r="30" spans="1:12">
      <c r="G30" s="19" t="s">
        <v>47</v>
      </c>
      <c r="H30" s="4">
        <v>758.7</v>
      </c>
      <c r="I30" s="4">
        <f t="shared" si="6"/>
        <v>2.57335622818112</v>
      </c>
      <c r="J30" s="4">
        <f t="shared" si="7"/>
        <v>2.5076257716104</v>
      </c>
      <c r="K30" s="4">
        <v>13.10975</v>
      </c>
      <c r="L30" s="4">
        <v>12.27575</v>
      </c>
    </row>
    <row r="31" spans="1:12">
      <c r="G31" s="19" t="s">
        <v>48</v>
      </c>
      <c r="H31" s="4">
        <v>780.7</v>
      </c>
      <c r="I31" s="4">
        <f t="shared" si="6"/>
        <v>2.42207777747877</v>
      </c>
      <c r="J31" s="4">
        <f t="shared" si="7"/>
        <v>2.35988655215808</v>
      </c>
      <c r="K31" s="4">
        <v>11.26925</v>
      </c>
      <c r="L31" s="4">
        <v>10.58975</v>
      </c>
    </row>
    <row r="32" spans="1:12">
      <c r="G32" s="19" t="s">
        <v>49</v>
      </c>
      <c r="H32" s="4">
        <v>803.7</v>
      </c>
      <c r="I32" s="4">
        <f t="shared" si="6"/>
        <v>2.29050126563266</v>
      </c>
      <c r="J32" s="4">
        <f t="shared" si="7"/>
        <v>2.20576006267914</v>
      </c>
      <c r="K32" s="4">
        <v>9.87988888888889</v>
      </c>
      <c r="L32" s="4">
        <v>9.07714814814815</v>
      </c>
    </row>
    <row r="33" spans="1:12">
      <c r="G33" s="19" t="s">
        <v>50</v>
      </c>
      <c r="H33" s="4">
        <v>828.7</v>
      </c>
      <c r="I33" s="4">
        <f t="shared" si="6"/>
        <v>2.1448488259584</v>
      </c>
      <c r="J33" s="4">
        <f t="shared" si="7"/>
        <v>2.08221893116044</v>
      </c>
      <c r="K33" s="4">
        <v>8.54075</v>
      </c>
      <c r="L33" s="4">
        <v>8.02225</v>
      </c>
    </row>
    <row r="34" spans="1:12">
      <c r="G34" s="19" t="s">
        <v>51</v>
      </c>
      <c r="H34" s="4">
        <v>851.7</v>
      </c>
      <c r="I34" s="4">
        <f t="shared" si="6"/>
        <v>1.98468433395826</v>
      </c>
      <c r="J34" s="4">
        <f t="shared" si="7"/>
        <v>1.93888553411835</v>
      </c>
      <c r="K34" s="4">
        <v>7.27675</v>
      </c>
      <c r="L34" s="4">
        <v>6.951</v>
      </c>
    </row>
    <row r="35" spans="1:12">
      <c r="G35" s="19" t="s">
        <v>52</v>
      </c>
      <c r="H35" s="4">
        <v>875.7</v>
      </c>
      <c r="I35" s="4">
        <f t="shared" si="6"/>
        <v>1.81949622419965</v>
      </c>
      <c r="J35" s="4">
        <f t="shared" si="7"/>
        <v>1.77888528474445</v>
      </c>
      <c r="K35" s="4">
        <v>6.16875</v>
      </c>
      <c r="L35" s="4">
        <v>5.92325</v>
      </c>
    </row>
    <row r="36" spans="1:12">
      <c r="G36" s="19" t="s">
        <v>53</v>
      </c>
      <c r="H36" s="4">
        <v>901.7</v>
      </c>
      <c r="I36" s="4">
        <f t="shared" si="6"/>
        <v>1.67929041433293</v>
      </c>
      <c r="J36" s="4">
        <f t="shared" si="7"/>
        <v>1.62673740951216</v>
      </c>
      <c r="K36" s="4">
        <v>5.36175</v>
      </c>
      <c r="L36" s="4">
        <v>5.08725</v>
      </c>
    </row>
    <row r="37" spans="1:12">
      <c r="G37" s="19" t="s">
        <v>54</v>
      </c>
      <c r="H37" s="4">
        <v>927.7</v>
      </c>
      <c r="I37" s="4">
        <f t="shared" si="6"/>
        <v>1.50463279806797</v>
      </c>
      <c r="J37" s="4">
        <f t="shared" si="7"/>
        <v>1.4977239228041</v>
      </c>
      <c r="K37" s="4">
        <v>4.5025</v>
      </c>
      <c r="L37" s="4">
        <v>4.4715</v>
      </c>
    </row>
    <row r="38" spans="1:12">
      <c r="G38" s="19" t="s">
        <v>55</v>
      </c>
      <c r="H38" s="4">
        <v>947.7</v>
      </c>
      <c r="I38" s="4">
        <f t="shared" si="6"/>
        <v>1.40056702040661</v>
      </c>
      <c r="J38" s="4">
        <f t="shared" si="7"/>
        <v>1.39964237863939</v>
      </c>
      <c r="K38" s="4">
        <v>4.0575</v>
      </c>
      <c r="L38" s="4">
        <v>4.05375</v>
      </c>
    </row>
    <row r="39" spans="1:12">
      <c r="A39" s="20" t="s">
        <v>56</v>
      </c>
      <c r="B39" s="14">
        <v>972.7</v>
      </c>
      <c r="C39" s="14">
        <f t="shared" ref="C39:C49" si="8">LN(E39)</f>
        <v>2.32228967626838</v>
      </c>
      <c r="D39" s="14">
        <f t="shared" ref="D39:D49" si="9">LN((F39))</f>
        <v>2.37910622256845</v>
      </c>
      <c r="E39" s="14">
        <v>10.199</v>
      </c>
      <c r="F39" s="14">
        <v>10.79525</v>
      </c>
      <c r="G39" s="19" t="s">
        <v>57</v>
      </c>
      <c r="H39" s="4">
        <v>971.7</v>
      </c>
      <c r="I39" s="4">
        <f t="shared" si="6"/>
        <v>1.21735782393606</v>
      </c>
      <c r="J39" s="4">
        <f t="shared" si="7"/>
        <v>1.22487776500583</v>
      </c>
      <c r="K39" s="4">
        <v>3.37825</v>
      </c>
      <c r="L39" s="4">
        <v>3.40375</v>
      </c>
    </row>
    <row r="40" spans="1:12">
      <c r="A40" s="20" t="s">
        <v>58</v>
      </c>
      <c r="B40" s="14">
        <v>995.7</v>
      </c>
      <c r="C40" s="14">
        <f t="shared" si="8"/>
        <v>2.13930116507723</v>
      </c>
      <c r="D40" s="14">
        <f t="shared" si="9"/>
        <v>2.26006895589097</v>
      </c>
      <c r="E40" s="14">
        <v>8.4935</v>
      </c>
      <c r="F40" s="14">
        <v>9.58375</v>
      </c>
      <c r="G40" s="19" t="s">
        <v>59</v>
      </c>
      <c r="H40" s="4">
        <v>996.7</v>
      </c>
      <c r="I40" s="4">
        <f t="shared" si="6"/>
        <v>1.06168893456351</v>
      </c>
      <c r="J40" s="4">
        <f t="shared" si="7"/>
        <v>1.12192183143707</v>
      </c>
      <c r="K40" s="4">
        <v>2.89125</v>
      </c>
      <c r="L40" s="4">
        <v>3.07075</v>
      </c>
    </row>
    <row r="41" spans="1:12">
      <c r="A41" s="20" t="s">
        <v>60</v>
      </c>
      <c r="B41" s="14">
        <v>1021.7</v>
      </c>
      <c r="C41" s="14">
        <f t="shared" si="8"/>
        <v>2.02277197892096</v>
      </c>
      <c r="D41" s="14">
        <f t="shared" si="9"/>
        <v>2.11236240430383</v>
      </c>
      <c r="E41" s="14">
        <v>7.55925</v>
      </c>
      <c r="F41" s="14">
        <v>8.26775</v>
      </c>
      <c r="G41" s="19" t="s">
        <v>61</v>
      </c>
      <c r="H41" s="4">
        <v>1019.7</v>
      </c>
      <c r="I41" s="4">
        <f t="shared" si="6"/>
        <v>0.937856509788716</v>
      </c>
      <c r="J41" s="4">
        <f t="shared" si="7"/>
        <v>0.995194329469621</v>
      </c>
      <c r="K41" s="4">
        <v>2.5545</v>
      </c>
      <c r="L41" s="4">
        <v>2.70525</v>
      </c>
    </row>
    <row r="42" spans="1:12">
      <c r="A42" s="20" t="s">
        <v>62</v>
      </c>
      <c r="B42" s="14">
        <v>1043.7</v>
      </c>
      <c r="C42" s="14">
        <f t="shared" si="8"/>
        <v>1.87041660205133</v>
      </c>
      <c r="D42" s="14">
        <f t="shared" si="9"/>
        <v>1.99074693066451</v>
      </c>
      <c r="E42" s="14">
        <v>6.491</v>
      </c>
      <c r="F42" s="14">
        <v>7.321</v>
      </c>
      <c r="G42" s="19" t="s">
        <v>63</v>
      </c>
      <c r="H42" s="4">
        <v>1045.7</v>
      </c>
      <c r="I42" s="4">
        <f t="shared" si="6"/>
        <v>0.761273009607546</v>
      </c>
      <c r="J42" s="4">
        <f t="shared" si="7"/>
        <v>0.888611162767413</v>
      </c>
      <c r="K42" s="4">
        <v>2.141</v>
      </c>
      <c r="L42" s="4">
        <v>2.43175</v>
      </c>
    </row>
    <row r="43" spans="1:12">
      <c r="A43" s="20" t="s">
        <v>64</v>
      </c>
      <c r="B43" s="14">
        <v>1068.7</v>
      </c>
      <c r="C43" s="14">
        <f t="shared" si="8"/>
        <v>1.72793180648189</v>
      </c>
      <c r="D43" s="14">
        <f t="shared" si="9"/>
        <v>1.89544358050494</v>
      </c>
      <c r="E43" s="14">
        <v>5.629</v>
      </c>
      <c r="F43" s="14">
        <v>6.6555</v>
      </c>
      <c r="G43" s="18"/>
    </row>
    <row r="44" spans="1:12">
      <c r="A44" s="20" t="s">
        <v>65</v>
      </c>
      <c r="B44" s="14">
        <v>1096.7</v>
      </c>
      <c r="C44" s="14">
        <f t="shared" si="8"/>
        <v>1.54019500969194</v>
      </c>
      <c r="D44" s="14">
        <f t="shared" si="9"/>
        <v>1.76691163625829</v>
      </c>
      <c r="E44" s="14">
        <v>4.6655</v>
      </c>
      <c r="F44" s="14">
        <v>5.85275</v>
      </c>
      <c r="G44" s="18"/>
    </row>
    <row r="45" spans="1:12">
      <c r="A45" s="20" t="s">
        <v>66</v>
      </c>
      <c r="B45" s="14">
        <v>1117.7</v>
      </c>
      <c r="C45" s="14">
        <f t="shared" si="8"/>
        <v>1.42352993210473</v>
      </c>
      <c r="D45" s="14">
        <f t="shared" si="9"/>
        <v>1.6747105390503</v>
      </c>
      <c r="E45" s="14">
        <v>4.15175</v>
      </c>
      <c r="F45" s="14">
        <v>5.33725</v>
      </c>
      <c r="G45" s="18"/>
    </row>
    <row r="46" spans="1:12">
      <c r="A46" s="20" t="s">
        <v>67</v>
      </c>
      <c r="B46" s="14">
        <v>1141.7</v>
      </c>
      <c r="C46" s="14">
        <f t="shared" si="8"/>
        <v>1.26744043977005</v>
      </c>
      <c r="D46" s="14">
        <f t="shared" si="9"/>
        <v>1.57670808781118</v>
      </c>
      <c r="E46" s="14">
        <v>3.55175</v>
      </c>
      <c r="F46" s="14">
        <v>4.839</v>
      </c>
      <c r="G46" s="21" t="s">
        <v>68</v>
      </c>
      <c r="H46" s="22">
        <v>1142.7</v>
      </c>
      <c r="I46" s="22">
        <f t="shared" ref="I46:I64" si="10">LN(K46)</f>
        <v>2.04846673738041</v>
      </c>
      <c r="J46" s="22">
        <f t="shared" ref="J46:J64" si="11">LN((L46))</f>
        <v>2.33476182468927</v>
      </c>
      <c r="K46" s="22">
        <v>7.756</v>
      </c>
      <c r="L46" s="22">
        <v>10.327</v>
      </c>
    </row>
    <row r="47" spans="1:12">
      <c r="A47" s="20" t="s">
        <v>69</v>
      </c>
      <c r="B47" s="14">
        <v>1166.7</v>
      </c>
      <c r="C47" s="14">
        <f t="shared" si="8"/>
        <v>1.17020917417313</v>
      </c>
      <c r="D47" s="14">
        <f t="shared" si="9"/>
        <v>1.49529823169252</v>
      </c>
      <c r="E47" s="14">
        <v>3.22266666666667</v>
      </c>
      <c r="F47" s="14">
        <v>4.46066666666667</v>
      </c>
      <c r="G47" s="21" t="s">
        <v>70</v>
      </c>
      <c r="H47" s="22">
        <v>1164.7</v>
      </c>
      <c r="I47" s="22">
        <f t="shared" si="10"/>
        <v>1.91142961206599</v>
      </c>
      <c r="J47" s="22">
        <f t="shared" si="11"/>
        <v>2.2308473864631</v>
      </c>
      <c r="K47" s="22">
        <v>6.76275</v>
      </c>
      <c r="L47" s="22">
        <v>9.30775</v>
      </c>
    </row>
    <row r="48" spans="1:12">
      <c r="A48" s="20" t="s">
        <v>71</v>
      </c>
      <c r="B48" s="14">
        <v>1189.7</v>
      </c>
      <c r="C48" s="14">
        <f t="shared" si="8"/>
        <v>0.978420103339704</v>
      </c>
      <c r="D48" s="14">
        <f t="shared" si="9"/>
        <v>1.3684485679743</v>
      </c>
      <c r="E48" s="14">
        <v>2.66025</v>
      </c>
      <c r="F48" s="14">
        <v>3.92925</v>
      </c>
      <c r="G48" s="21" t="s">
        <v>72</v>
      </c>
      <c r="H48" s="22">
        <v>1190.7</v>
      </c>
      <c r="I48" s="22">
        <f t="shared" si="10"/>
        <v>1.74134298331404</v>
      </c>
      <c r="J48" s="22">
        <f t="shared" si="11"/>
        <v>2.14481955409598</v>
      </c>
      <c r="K48" s="22">
        <v>5.705</v>
      </c>
      <c r="L48" s="22">
        <v>8.5405</v>
      </c>
    </row>
    <row r="49" spans="1:12">
      <c r="A49" s="20" t="s">
        <v>73</v>
      </c>
      <c r="B49" s="14">
        <v>1213.7</v>
      </c>
      <c r="C49" s="14">
        <f t="shared" si="8"/>
        <v>0.824613943302251</v>
      </c>
      <c r="D49" s="14">
        <f t="shared" si="9"/>
        <v>1.28246045737468</v>
      </c>
      <c r="E49" s="14">
        <v>2.281</v>
      </c>
      <c r="F49" s="14">
        <v>3.6055</v>
      </c>
      <c r="G49" s="21" t="s">
        <v>74</v>
      </c>
      <c r="H49" s="22">
        <v>1212.7</v>
      </c>
      <c r="I49" s="22">
        <f t="shared" si="10"/>
        <v>1.63598246765621</v>
      </c>
      <c r="J49" s="22">
        <f t="shared" si="11"/>
        <v>2.06169118204102</v>
      </c>
      <c r="K49" s="22">
        <v>5.1345</v>
      </c>
      <c r="L49" s="22">
        <v>7.85925</v>
      </c>
    </row>
    <row r="50" spans="1:12">
      <c r="G50" s="21" t="s">
        <v>75</v>
      </c>
      <c r="H50" s="22">
        <v>1237.7</v>
      </c>
      <c r="I50" s="22">
        <f t="shared" si="10"/>
        <v>1.48704426422003</v>
      </c>
      <c r="J50" s="22">
        <f t="shared" si="11"/>
        <v>1.97310833088522</v>
      </c>
      <c r="K50" s="22">
        <v>4.424</v>
      </c>
      <c r="L50" s="22">
        <v>7.193</v>
      </c>
    </row>
    <row r="51" spans="1:12">
      <c r="G51" s="21" t="s">
        <v>76</v>
      </c>
      <c r="H51" s="22">
        <v>1261.7</v>
      </c>
      <c r="I51" s="22">
        <f t="shared" si="10"/>
        <v>1.36851219132409</v>
      </c>
      <c r="J51" s="22">
        <f t="shared" si="11"/>
        <v>1.89660735351287</v>
      </c>
      <c r="K51" s="22">
        <v>3.9295</v>
      </c>
      <c r="L51" s="22">
        <v>6.66325</v>
      </c>
    </row>
    <row r="52" spans="1:12">
      <c r="G52" s="21" t="s">
        <v>77</v>
      </c>
      <c r="H52" s="22">
        <v>1285.7</v>
      </c>
      <c r="I52" s="22">
        <f t="shared" si="10"/>
        <v>1.2519769453744</v>
      </c>
      <c r="J52" s="22">
        <f t="shared" si="11"/>
        <v>1.81795501688615</v>
      </c>
      <c r="K52" s="22">
        <v>3.49725</v>
      </c>
      <c r="L52" s="22">
        <v>6.15925</v>
      </c>
    </row>
    <row r="53" spans="1:12">
      <c r="G53" s="21" t="s">
        <v>78</v>
      </c>
      <c r="H53" s="22">
        <f>H52+24</f>
        <v>1309.7</v>
      </c>
      <c r="I53" s="22">
        <f t="shared" si="10"/>
        <v>1.10635997545894</v>
      </c>
      <c r="J53" s="22">
        <f t="shared" si="11"/>
        <v>1.76615672036707</v>
      </c>
      <c r="K53" s="22">
        <v>3.02333333333333</v>
      </c>
      <c r="L53" s="22">
        <v>5.84833333333333</v>
      </c>
    </row>
    <row r="54" spans="1:12">
      <c r="G54" s="21" t="s">
        <v>79</v>
      </c>
      <c r="H54" s="22">
        <f>H53+24</f>
        <v>1333.7</v>
      </c>
      <c r="I54" s="22">
        <f t="shared" si="10"/>
        <v>0.958802726111509</v>
      </c>
      <c r="J54" s="22">
        <f t="shared" si="11"/>
        <v>1.67442276252351</v>
      </c>
      <c r="K54" s="22">
        <v>2.60857142857143</v>
      </c>
      <c r="L54" s="22">
        <v>5.33571428571429</v>
      </c>
    </row>
    <row r="55" spans="1:12">
      <c r="G55" s="21" t="s">
        <v>80</v>
      </c>
      <c r="H55" s="22">
        <f>H54+25</f>
        <v>1358.7</v>
      </c>
      <c r="I55" s="22">
        <f t="shared" si="10"/>
        <v>0.81070796929909</v>
      </c>
      <c r="J55" s="22">
        <f t="shared" si="11"/>
        <v>1.59274943114786</v>
      </c>
      <c r="K55" s="22">
        <v>2.2495</v>
      </c>
      <c r="L55" s="22">
        <v>4.91725</v>
      </c>
    </row>
    <row r="56" spans="1:12">
      <c r="G56" s="21" t="s">
        <v>81</v>
      </c>
      <c r="H56" s="22">
        <f>H55+24</f>
        <v>1382.7</v>
      </c>
      <c r="I56" s="22">
        <f t="shared" si="10"/>
        <v>0.692146680226362</v>
      </c>
      <c r="J56" s="22">
        <f t="shared" si="11"/>
        <v>1.52893259777445</v>
      </c>
      <c r="K56" s="22">
        <v>1.998</v>
      </c>
      <c r="L56" s="22">
        <v>4.61325</v>
      </c>
    </row>
    <row r="57" spans="1:12">
      <c r="G57" s="21" t="s">
        <v>82</v>
      </c>
      <c r="H57" s="22">
        <f>H56+25</f>
        <v>1407.7</v>
      </c>
      <c r="I57" s="22">
        <f t="shared" si="10"/>
        <v>0.572673027092071</v>
      </c>
      <c r="J57" s="22">
        <f t="shared" si="11"/>
        <v>1.47950005531971</v>
      </c>
      <c r="K57" s="22">
        <v>1.773</v>
      </c>
      <c r="L57" s="22">
        <v>4.39075</v>
      </c>
    </row>
    <row r="58" spans="1:12">
      <c r="G58" s="21" t="s">
        <v>83</v>
      </c>
      <c r="H58" s="22">
        <f>H57+28</f>
        <v>1435.7</v>
      </c>
      <c r="I58" s="22">
        <f t="shared" si="10"/>
        <v>0.473123756581979</v>
      </c>
      <c r="J58" s="22">
        <f t="shared" si="11"/>
        <v>1.4410784306562</v>
      </c>
      <c r="K58" s="22">
        <v>1.605</v>
      </c>
      <c r="L58" s="22">
        <v>4.22525</v>
      </c>
    </row>
    <row r="59" spans="1:12">
      <c r="G59" s="21" t="s">
        <v>84</v>
      </c>
      <c r="H59" s="22">
        <f>H58+14</f>
        <v>1449.7</v>
      </c>
      <c r="I59" s="22">
        <f t="shared" si="10"/>
        <v>0.431457688382418</v>
      </c>
      <c r="J59" s="22">
        <f t="shared" si="11"/>
        <v>1.4080558529014</v>
      </c>
      <c r="K59" s="22">
        <v>1.5395</v>
      </c>
      <c r="L59" s="22">
        <v>4.088</v>
      </c>
    </row>
    <row r="60" spans="1:12">
      <c r="G60" s="21" t="s">
        <v>85</v>
      </c>
      <c r="H60" s="22">
        <f>H59+36</f>
        <v>1485.7</v>
      </c>
      <c r="I60" s="22">
        <f t="shared" si="10"/>
        <v>0.319907219746518</v>
      </c>
      <c r="J60" s="22">
        <f t="shared" si="11"/>
        <v>1.34142773977978</v>
      </c>
      <c r="K60" s="22">
        <v>1.377</v>
      </c>
      <c r="L60" s="22">
        <v>3.8245</v>
      </c>
    </row>
    <row r="61" spans="1:12">
      <c r="G61" s="21" t="s">
        <v>86</v>
      </c>
      <c r="H61" s="22">
        <f>H60+19</f>
        <v>1504.7</v>
      </c>
      <c r="I61" s="22">
        <f t="shared" si="10"/>
        <v>0.215716035485413</v>
      </c>
      <c r="J61" s="22">
        <f t="shared" si="11"/>
        <v>1.3232879989604</v>
      </c>
      <c r="K61" s="22">
        <v>1.24075</v>
      </c>
      <c r="L61" s="22">
        <v>3.75575</v>
      </c>
    </row>
    <row r="62" spans="1:12">
      <c r="G62" s="21" t="s">
        <v>87</v>
      </c>
      <c r="H62" s="22">
        <f>H61+30</f>
        <v>1534.7</v>
      </c>
      <c r="I62" s="22">
        <f t="shared" si="10"/>
        <v>0.122881129375815</v>
      </c>
      <c r="J62" s="22">
        <f t="shared" si="11"/>
        <v>1.27759494419655</v>
      </c>
      <c r="K62" s="22">
        <v>1.13075</v>
      </c>
      <c r="L62" s="22">
        <v>3.588</v>
      </c>
    </row>
    <row r="63" spans="1:12">
      <c r="G63" s="21" t="s">
        <v>88</v>
      </c>
      <c r="H63" s="22">
        <f>H62+11</f>
        <v>1545.7</v>
      </c>
      <c r="I63" s="22">
        <f t="shared" si="10"/>
        <v>0.118671529717499</v>
      </c>
      <c r="J63" s="22">
        <f t="shared" si="11"/>
        <v>1.26624313005206</v>
      </c>
      <c r="K63" s="22">
        <v>1.126</v>
      </c>
      <c r="L63" s="22">
        <v>3.5475</v>
      </c>
    </row>
    <row r="64" spans="1:12">
      <c r="G64" s="21" t="s">
        <v>89</v>
      </c>
      <c r="H64" s="22">
        <f>H63+34</f>
        <v>1579.7</v>
      </c>
      <c r="I64" s="22">
        <f t="shared" si="10"/>
        <v>-0.06028093088493</v>
      </c>
      <c r="J64" s="22">
        <f t="shared" si="11"/>
        <v>1.19149528281482</v>
      </c>
      <c r="K64" s="22">
        <v>0.9415</v>
      </c>
      <c r="L64" s="22">
        <v>3.292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opLeftCell="F40" workbookViewId="0">
      <selection activeCell="M46" sqref="M46:N64"/>
    </sheetView>
  </sheetViews>
  <sheetFormatPr defaultColWidth="9" defaultRowHeight="14.4"/>
  <cols>
    <col min="1" max="1" width="13" customWidth="1"/>
    <col min="2" max="2" width="10.6666666666667" customWidth="1"/>
    <col min="3" max="4" width="15" customWidth="1"/>
    <col min="5" max="8" width="12.8888888888889" customWidth="1"/>
    <col min="9" max="9" width="13" customWidth="1"/>
    <col min="10" max="10" width="10.6666666666667" customWidth="1"/>
    <col min="11" max="12" width="15" customWidth="1"/>
    <col min="13" max="18" width="12.8888888888889" customWidth="1"/>
    <col min="19" max="19" width="20.8888888888889" customWidth="1"/>
    <col min="20" max="20" width="12.8888888888889" customWidth="1"/>
  </cols>
  <sheetData>
    <row r="1" ht="17.4" spans="1:19">
      <c r="A1" s="1" t="s">
        <v>0</v>
      </c>
      <c r="B1" s="1" t="s">
        <v>1</v>
      </c>
      <c r="C1" s="1" t="s">
        <v>90</v>
      </c>
      <c r="D1" s="1" t="s">
        <v>91</v>
      </c>
      <c r="E1" s="1">
        <v>747</v>
      </c>
      <c r="F1" s="1">
        <v>633</v>
      </c>
      <c r="G1" s="1" t="s">
        <v>92</v>
      </c>
      <c r="H1" s="1" t="s">
        <v>93</v>
      </c>
      <c r="I1" s="9" t="s">
        <v>94</v>
      </c>
      <c r="J1" s="1" t="s">
        <v>1</v>
      </c>
      <c r="K1" s="1" t="s">
        <v>90</v>
      </c>
      <c r="L1" s="1" t="s">
        <v>91</v>
      </c>
      <c r="M1" s="1" t="s">
        <v>95</v>
      </c>
      <c r="N1" s="1" t="s">
        <v>96</v>
      </c>
      <c r="O1" s="1" t="s">
        <v>92</v>
      </c>
      <c r="P1" s="1" t="s">
        <v>93</v>
      </c>
      <c r="Q1" s="1"/>
      <c r="S1" t="s">
        <v>3</v>
      </c>
    </row>
    <row r="2" spans="1:19">
      <c r="A2" s="10" t="s">
        <v>4</v>
      </c>
      <c r="I2" s="11" t="s">
        <v>4</v>
      </c>
      <c r="J2" s="12">
        <v>0</v>
      </c>
      <c r="K2" s="12">
        <f>LN(M2)+2.074+2.82328+1.16682+0.590927+0.2-0.5</f>
        <v>9.01135409255594</v>
      </c>
      <c r="L2" s="12">
        <f>LN(N2)+7.843657-0.15-0.36</f>
        <v>8.66298086422121</v>
      </c>
      <c r="M2" s="12">
        <v>14.2438764643237</v>
      </c>
      <c r="N2" s="12">
        <v>3.77848775292865</v>
      </c>
      <c r="O2" s="12">
        <f>M2*$R$20*$R$29*$R$42*$R$49</f>
        <v>7643.87892250661</v>
      </c>
      <c r="P2" s="12">
        <f>N2*$T$20*$T$29*$T$42*$T$49</f>
        <v>5579.80859653719</v>
      </c>
      <c r="S2" s="12" t="s">
        <v>5</v>
      </c>
    </row>
    <row r="3" spans="1:19">
      <c r="A3" s="10" t="s">
        <v>6</v>
      </c>
      <c r="I3" s="11" t="s">
        <v>6</v>
      </c>
      <c r="J3" s="12">
        <v>36</v>
      </c>
      <c r="K3" s="12">
        <f t="shared" ref="K3:K20" si="0">LN(M3)+2.074+2.82328+1.16682+0.590927+0.2-0.5</f>
        <v>8.68891145112596</v>
      </c>
      <c r="L3" s="12">
        <f t="shared" ref="L3:L20" si="1">LN(N3)+7.843657-0.15-0.36</f>
        <v>8.55117873488425</v>
      </c>
      <c r="M3" s="12">
        <v>10.3179433368311</v>
      </c>
      <c r="N3" s="12">
        <v>3.3788037775446</v>
      </c>
      <c r="O3" s="12">
        <f t="shared" ref="O3:O20" si="2">M3*$R$20*$R$29*$R$42*$R$49</f>
        <v>5537.05375033</v>
      </c>
      <c r="P3" s="12">
        <f t="shared" ref="P3:P20" si="3">N3*$T$20*$T$29*$T$42*$T$49</f>
        <v>4989.58302811567</v>
      </c>
      <c r="S3" s="13" t="s">
        <v>7</v>
      </c>
    </row>
    <row r="4" spans="1:19">
      <c r="A4" s="10" t="s">
        <v>8</v>
      </c>
      <c r="I4" s="11" t="s">
        <v>8</v>
      </c>
      <c r="J4" s="12">
        <v>59.5</v>
      </c>
      <c r="K4" s="12">
        <f t="shared" si="0"/>
        <v>8.58533318419621</v>
      </c>
      <c r="L4" s="12">
        <f t="shared" si="1"/>
        <v>8.35376216778895</v>
      </c>
      <c r="M4" s="12">
        <v>9.30271398747391</v>
      </c>
      <c r="N4" s="12">
        <v>2.77348643006263</v>
      </c>
      <c r="O4" s="12">
        <f t="shared" si="2"/>
        <v>4992.23786088456</v>
      </c>
      <c r="P4" s="12">
        <f t="shared" si="3"/>
        <v>4095.69236074614</v>
      </c>
      <c r="S4" s="4" t="s">
        <v>9</v>
      </c>
    </row>
    <row r="5" spans="1:19">
      <c r="A5" s="10" t="s">
        <v>10</v>
      </c>
      <c r="I5" s="11" t="s">
        <v>10</v>
      </c>
      <c r="J5" s="12">
        <v>83.5</v>
      </c>
      <c r="K5" s="12">
        <f t="shared" si="0"/>
        <v>8.43976536951515</v>
      </c>
      <c r="L5" s="12">
        <f t="shared" si="1"/>
        <v>8.23217413279019</v>
      </c>
      <c r="M5" s="12">
        <v>8.04248704663213</v>
      </c>
      <c r="N5" s="12">
        <v>2.4559585492228</v>
      </c>
      <c r="O5" s="12">
        <f t="shared" si="2"/>
        <v>4315.9456889605</v>
      </c>
      <c r="P5" s="12">
        <f t="shared" si="3"/>
        <v>3626.78921350765</v>
      </c>
      <c r="S5" s="14" t="s">
        <v>11</v>
      </c>
    </row>
    <row r="6" spans="1:19">
      <c r="A6" s="10" t="s">
        <v>12</v>
      </c>
      <c r="I6" s="11" t="s">
        <v>12</v>
      </c>
      <c r="J6" s="12">
        <v>107.5</v>
      </c>
      <c r="K6" s="12">
        <f t="shared" si="0"/>
        <v>8.17927663665251</v>
      </c>
      <c r="L6" s="12">
        <f t="shared" si="1"/>
        <v>7.99162071438332</v>
      </c>
      <c r="M6" s="12">
        <v>6.19814241486068</v>
      </c>
      <c r="N6" s="12">
        <v>1.93085655314757</v>
      </c>
      <c r="O6" s="12">
        <f t="shared" si="2"/>
        <v>3326.19075167592</v>
      </c>
      <c r="P6" s="12">
        <f t="shared" si="3"/>
        <v>2851.35501248677</v>
      </c>
      <c r="S6" s="15" t="s">
        <v>13</v>
      </c>
    </row>
    <row r="7" spans="1:19">
      <c r="A7" s="10" t="s">
        <v>14</v>
      </c>
      <c r="I7" s="11" t="s">
        <v>14</v>
      </c>
      <c r="J7" s="12">
        <v>131.5</v>
      </c>
      <c r="K7" s="12">
        <f t="shared" si="0"/>
        <v>8.05902812675085</v>
      </c>
      <c r="L7" s="12">
        <f t="shared" si="1"/>
        <v>7.83000460458534</v>
      </c>
      <c r="M7" s="12">
        <v>5.4958932238193</v>
      </c>
      <c r="N7" s="12">
        <v>1.64271047227926</v>
      </c>
      <c r="O7" s="12">
        <f t="shared" si="2"/>
        <v>2949.33352441806</v>
      </c>
      <c r="P7" s="12">
        <f t="shared" si="3"/>
        <v>2425.84086920516</v>
      </c>
    </row>
    <row r="8" spans="1:19">
      <c r="A8" s="10" t="s">
        <v>15</v>
      </c>
      <c r="I8" s="11" t="s">
        <v>15</v>
      </c>
      <c r="J8" s="12">
        <v>155.5</v>
      </c>
      <c r="K8" s="12">
        <f t="shared" si="0"/>
        <v>7.91252429900356</v>
      </c>
      <c r="L8" s="12">
        <f t="shared" si="1"/>
        <v>7.72744214021839</v>
      </c>
      <c r="M8" s="12">
        <v>4.7469262295082</v>
      </c>
      <c r="N8" s="12">
        <v>1.48258196721311</v>
      </c>
      <c r="O8" s="12">
        <f t="shared" si="2"/>
        <v>2547.40550743427</v>
      </c>
      <c r="P8" s="12">
        <f t="shared" si="3"/>
        <v>2189.3742011774</v>
      </c>
    </row>
    <row r="9" spans="1:19">
      <c r="A9" s="10" t="s">
        <v>16</v>
      </c>
      <c r="I9" s="11" t="s">
        <v>16</v>
      </c>
      <c r="J9" s="12">
        <v>179.7</v>
      </c>
      <c r="K9" s="12">
        <f t="shared" si="0"/>
        <v>7.7567627513357</v>
      </c>
      <c r="L9" s="12">
        <f t="shared" si="1"/>
        <v>7.51512785491364</v>
      </c>
      <c r="M9" s="12">
        <v>4.06224489795918</v>
      </c>
      <c r="N9" s="12">
        <v>1.19897959183673</v>
      </c>
      <c r="O9" s="12">
        <f t="shared" si="2"/>
        <v>2179.97595186561</v>
      </c>
      <c r="P9" s="12">
        <f t="shared" si="3"/>
        <v>1770.56988696546</v>
      </c>
    </row>
    <row r="10" spans="1:19">
      <c r="A10" s="10" t="s">
        <v>17</v>
      </c>
      <c r="I10" s="11" t="s">
        <v>17</v>
      </c>
      <c r="J10" s="12">
        <v>203.7</v>
      </c>
      <c r="K10" s="12">
        <f t="shared" si="0"/>
        <v>7.62652520449133</v>
      </c>
      <c r="L10" s="12">
        <f t="shared" si="1"/>
        <v>7.47668995267354</v>
      </c>
      <c r="M10" s="12">
        <v>3.56619144602851</v>
      </c>
      <c r="N10" s="12">
        <v>1.15376782077393</v>
      </c>
      <c r="O10" s="12">
        <f t="shared" si="2"/>
        <v>1913.77225828917</v>
      </c>
      <c r="P10" s="12">
        <f t="shared" si="3"/>
        <v>1703.80427983987</v>
      </c>
    </row>
    <row r="11" spans="1:19">
      <c r="A11" s="10" t="s">
        <v>18</v>
      </c>
      <c r="I11" s="11" t="s">
        <v>18</v>
      </c>
      <c r="J11" s="12">
        <v>227.7</v>
      </c>
      <c r="K11" s="12">
        <f t="shared" si="0"/>
        <v>7.45092558279651</v>
      </c>
      <c r="L11" s="12">
        <f t="shared" si="1"/>
        <v>7.2879109782118</v>
      </c>
      <c r="M11" s="12">
        <v>2.99186991869919</v>
      </c>
      <c r="N11" s="12">
        <v>0.955284552845528</v>
      </c>
      <c r="O11" s="12">
        <f t="shared" si="2"/>
        <v>1605.56653715068</v>
      </c>
      <c r="P11" s="12">
        <f t="shared" si="3"/>
        <v>1410.69795872045</v>
      </c>
    </row>
    <row r="12" spans="1:19">
      <c r="A12" s="16" t="s">
        <v>19</v>
      </c>
      <c r="B12" s="17">
        <v>254.7</v>
      </c>
      <c r="C12" s="17">
        <f>LN(E12)+2.82328+1.16682+0.590927+0.2-0.5</f>
        <v>7.30483639612588</v>
      </c>
      <c r="D12" s="17">
        <f>LN(F12)+4.965437-0.15-0.36</f>
        <v>7.14353956329251</v>
      </c>
      <c r="E12" s="17">
        <v>20.5695</v>
      </c>
      <c r="F12" s="17">
        <v>14.70375</v>
      </c>
      <c r="G12" s="17">
        <f>E12*$R$29*$R$42*$R$49</f>
        <v>1383.7848083082</v>
      </c>
      <c r="H12" s="17">
        <f>F12*$T$29*$T$42*$T$49</f>
        <v>1260.46035632693</v>
      </c>
      <c r="I12" s="11" t="s">
        <v>19</v>
      </c>
      <c r="J12" s="12">
        <v>251.7</v>
      </c>
      <c r="K12" s="12">
        <f t="shared" si="0"/>
        <v>7.33269501154906</v>
      </c>
      <c r="L12" s="12">
        <f t="shared" si="1"/>
        <v>7.13429100859679</v>
      </c>
      <c r="M12" s="12">
        <v>2.65825</v>
      </c>
      <c r="N12" s="12">
        <v>0.81925</v>
      </c>
      <c r="O12" s="12">
        <f t="shared" si="2"/>
        <v>1426.5316886626</v>
      </c>
      <c r="P12" s="12">
        <f t="shared" si="3"/>
        <v>1209.81156791364</v>
      </c>
      <c r="Q12">
        <f>E12/M12</f>
        <v>7.73798551678736</v>
      </c>
      <c r="S12">
        <f>F12/N12</f>
        <v>17.9478181263351</v>
      </c>
    </row>
    <row r="13" spans="1:19">
      <c r="A13" s="16" t="s">
        <v>20</v>
      </c>
      <c r="B13" s="17">
        <v>275.7</v>
      </c>
      <c r="C13" s="17">
        <f t="shared" ref="C13:C29" si="4">LN(E13)+2.82328+1.16682+0.590927+0.2-0.5</f>
        <v>7.24413200938181</v>
      </c>
      <c r="D13" s="17">
        <f t="shared" ref="D13:D29" si="5">LN(F13)+4.965437-0.15-0.36</f>
        <v>7.04011970659903</v>
      </c>
      <c r="E13" s="17">
        <v>19.3579852618874</v>
      </c>
      <c r="F13" s="17">
        <v>13.2590814034355</v>
      </c>
      <c r="G13" s="17">
        <f t="shared" ref="G13:G29" si="6">E13*$R$29*$R$42*$R$49</f>
        <v>1302.28182137893</v>
      </c>
      <c r="H13" s="17">
        <f t="shared" ref="H13:H29" si="7">F13*$T$29*$T$42*$T$49</f>
        <v>1136.61796958885</v>
      </c>
      <c r="I13" s="11" t="s">
        <v>21</v>
      </c>
      <c r="J13" s="12">
        <v>275.9</v>
      </c>
      <c r="K13" s="12">
        <f t="shared" si="0"/>
        <v>7.20467172839702</v>
      </c>
      <c r="L13" s="12">
        <f t="shared" si="1"/>
        <v>7.04090134994752</v>
      </c>
      <c r="M13" s="12">
        <v>2.33881578947368</v>
      </c>
      <c r="N13" s="12">
        <v>0.746204453441295</v>
      </c>
      <c r="O13" s="12">
        <f t="shared" si="2"/>
        <v>1255.1095034811</v>
      </c>
      <c r="P13" s="12">
        <f t="shared" si="3"/>
        <v>1101.94297198896</v>
      </c>
      <c r="Q13">
        <f t="shared" ref="Q13:Q20" si="8">E13/M13</f>
        <v>8.27683195444976</v>
      </c>
      <c r="S13">
        <f t="shared" ref="S13:S20" si="9">F13/N13</f>
        <v>17.7686977641157</v>
      </c>
    </row>
    <row r="14" spans="1:19">
      <c r="A14" s="16" t="s">
        <v>22</v>
      </c>
      <c r="B14" s="17">
        <v>300.2</v>
      </c>
      <c r="C14" s="17">
        <f t="shared" si="4"/>
        <v>7.0646033559989</v>
      </c>
      <c r="D14" s="17">
        <f t="shared" si="5"/>
        <v>6.83759207437927</v>
      </c>
      <c r="E14" s="17">
        <v>16.1767715120254</v>
      </c>
      <c r="F14" s="17">
        <v>10.8282133421492</v>
      </c>
      <c r="G14" s="17">
        <f t="shared" si="6"/>
        <v>1088.27004379366</v>
      </c>
      <c r="H14" s="17">
        <f t="shared" si="7"/>
        <v>928.234882096701</v>
      </c>
      <c r="I14" s="11" t="s">
        <v>23</v>
      </c>
      <c r="J14" s="12">
        <v>299.9</v>
      </c>
      <c r="K14" s="12">
        <f t="shared" si="0"/>
        <v>7.04412661751247</v>
      </c>
      <c r="L14" s="12">
        <f t="shared" si="1"/>
        <v>6.8709914371883</v>
      </c>
      <c r="M14" s="12">
        <v>1.9919212345906</v>
      </c>
      <c r="N14" s="12">
        <v>0.629603160012665</v>
      </c>
      <c r="O14" s="12">
        <f t="shared" si="2"/>
        <v>1068.95091224054</v>
      </c>
      <c r="P14" s="12">
        <f t="shared" si="3"/>
        <v>929.754270586884</v>
      </c>
      <c r="Q14">
        <f t="shared" si="8"/>
        <v>8.12119035186159</v>
      </c>
      <c r="S14">
        <f t="shared" si="9"/>
        <v>17.1984736257222</v>
      </c>
    </row>
    <row r="15" spans="1:19">
      <c r="A15" s="16" t="s">
        <v>24</v>
      </c>
      <c r="B15" s="17">
        <v>321.7</v>
      </c>
      <c r="C15" s="17">
        <f t="shared" si="4"/>
        <v>6.89141777908028</v>
      </c>
      <c r="D15" s="17">
        <f t="shared" si="5"/>
        <v>6.73350424289038</v>
      </c>
      <c r="E15" s="17">
        <v>13.6043661148947</v>
      </c>
      <c r="F15" s="17">
        <v>9.75780270983959</v>
      </c>
      <c r="G15" s="17">
        <f t="shared" si="6"/>
        <v>915.215010401526</v>
      </c>
      <c r="H15" s="17">
        <f t="shared" si="7"/>
        <v>836.475285598045</v>
      </c>
      <c r="I15" s="11"/>
      <c r="J15" s="12"/>
      <c r="K15" s="12"/>
      <c r="L15" s="12"/>
      <c r="M15" s="12"/>
      <c r="N15" s="12"/>
      <c r="O15" s="12"/>
      <c r="P15" s="12"/>
    </row>
    <row r="16" spans="1:19">
      <c r="A16" s="16" t="s">
        <v>25</v>
      </c>
      <c r="B16" s="17">
        <v>345.7</v>
      </c>
      <c r="C16" s="17">
        <f t="shared" si="4"/>
        <v>6.73827566746013</v>
      </c>
      <c r="D16" s="17">
        <f t="shared" si="5"/>
        <v>6.5354484190146</v>
      </c>
      <c r="E16" s="17">
        <v>11.6726519722373</v>
      </c>
      <c r="F16" s="17">
        <v>8.00456031796561</v>
      </c>
      <c r="G16" s="17">
        <f t="shared" si="6"/>
        <v>785.261599545481</v>
      </c>
      <c r="H16" s="17">
        <f t="shared" si="7"/>
        <v>686.18080085851</v>
      </c>
      <c r="I16" s="11"/>
      <c r="J16" s="12"/>
      <c r="K16" s="12"/>
      <c r="L16" s="12"/>
      <c r="M16" s="12"/>
      <c r="N16" s="12"/>
      <c r="O16" s="12"/>
      <c r="P16" s="12"/>
    </row>
    <row r="17" spans="1:20">
      <c r="A17" s="16" t="s">
        <v>26</v>
      </c>
      <c r="B17" s="17">
        <v>369.7</v>
      </c>
      <c r="C17" s="17">
        <f t="shared" si="4"/>
        <v>6.56767447195297</v>
      </c>
      <c r="D17" s="17">
        <f t="shared" si="5"/>
        <v>6.40313297847711</v>
      </c>
      <c r="E17" s="17">
        <v>9.84188710807687</v>
      </c>
      <c r="F17" s="17">
        <v>7.01251197475365</v>
      </c>
      <c r="G17" s="17">
        <f t="shared" si="6"/>
        <v>662.099412491365</v>
      </c>
      <c r="H17" s="17">
        <f t="shared" si="7"/>
        <v>601.138712399546</v>
      </c>
      <c r="I17" s="11"/>
      <c r="J17" s="12"/>
      <c r="K17" s="12"/>
      <c r="L17" s="12"/>
      <c r="M17" s="12"/>
      <c r="N17" s="12"/>
      <c r="O17" s="12"/>
      <c r="P17" s="12"/>
    </row>
    <row r="18" spans="1:20">
      <c r="A18" s="16" t="s">
        <v>27</v>
      </c>
      <c r="B18" s="17">
        <v>393.7</v>
      </c>
      <c r="C18" s="17">
        <f t="shared" si="4"/>
        <v>6.41836445635233</v>
      </c>
      <c r="D18" s="17">
        <f t="shared" si="5"/>
        <v>6.23417829978339</v>
      </c>
      <c r="E18" s="17">
        <v>8.47683760534439</v>
      </c>
      <c r="F18" s="17">
        <v>5.9223972024759</v>
      </c>
      <c r="G18" s="17">
        <f t="shared" si="6"/>
        <v>570.267585540303</v>
      </c>
      <c r="H18" s="17">
        <f t="shared" si="7"/>
        <v>507.69000344418</v>
      </c>
      <c r="I18" s="11" t="s">
        <v>28</v>
      </c>
      <c r="J18" s="12">
        <v>398.4</v>
      </c>
      <c r="K18" s="12">
        <f t="shared" si="0"/>
        <v>6.44400659303991</v>
      </c>
      <c r="L18" s="12">
        <f t="shared" si="1"/>
        <v>6.26965024050936</v>
      </c>
      <c r="M18" s="12">
        <v>1.0930583501006</v>
      </c>
      <c r="N18" s="12">
        <v>0.345070422535211</v>
      </c>
      <c r="O18" s="12">
        <f t="shared" si="2"/>
        <v>586.582290595605</v>
      </c>
      <c r="P18" s="12">
        <f t="shared" si="3"/>
        <v>509.576062164109</v>
      </c>
      <c r="Q18">
        <f t="shared" si="8"/>
        <v>7.75515561869522</v>
      </c>
      <c r="S18">
        <f t="shared" si="9"/>
        <v>17.1628653622771</v>
      </c>
    </row>
    <row r="19" spans="1:20">
      <c r="A19" s="16" t="s">
        <v>29</v>
      </c>
      <c r="B19" s="17">
        <v>417.7</v>
      </c>
      <c r="C19" s="17">
        <f t="shared" si="4"/>
        <v>6.27987140921579</v>
      </c>
      <c r="D19" s="17">
        <f t="shared" si="5"/>
        <v>6.05905767856849</v>
      </c>
      <c r="E19" s="17">
        <v>7.38052230553486</v>
      </c>
      <c r="F19" s="17">
        <v>4.97099826738785</v>
      </c>
      <c r="G19" s="17">
        <f t="shared" si="6"/>
        <v>496.514482305305</v>
      </c>
      <c r="H19" s="17">
        <f t="shared" si="7"/>
        <v>426.132534041467</v>
      </c>
      <c r="I19" s="11" t="s">
        <v>30</v>
      </c>
      <c r="J19" s="12">
        <v>422.9</v>
      </c>
      <c r="K19" s="12">
        <f t="shared" si="0"/>
        <v>6.31137436984226</v>
      </c>
      <c r="L19" s="12">
        <f t="shared" si="1"/>
        <v>6.13968427900865</v>
      </c>
      <c r="M19" s="12">
        <v>0.957286432160804</v>
      </c>
      <c r="N19" s="12">
        <v>0.303015075376884</v>
      </c>
      <c r="O19" s="12">
        <f t="shared" si="2"/>
        <v>513.721219074259</v>
      </c>
      <c r="P19" s="12">
        <f t="shared" si="3"/>
        <v>447.471642896769</v>
      </c>
      <c r="Q19">
        <f t="shared" si="8"/>
        <v>7.70983694908891</v>
      </c>
      <c r="S19">
        <f t="shared" si="9"/>
        <v>16.405118660202</v>
      </c>
    </row>
    <row r="20" spans="1:20">
      <c r="A20" s="16" t="s">
        <v>31</v>
      </c>
      <c r="B20" s="17">
        <v>441.7</v>
      </c>
      <c r="C20" s="17">
        <f t="shared" si="4"/>
        <v>6.10991888190637</v>
      </c>
      <c r="D20" s="17">
        <f t="shared" si="5"/>
        <v>5.91793363067067</v>
      </c>
      <c r="E20" s="17">
        <v>6.22698260188629</v>
      </c>
      <c r="F20" s="17">
        <v>4.31672335002295</v>
      </c>
      <c r="G20" s="17">
        <f t="shared" si="6"/>
        <v>418.911686044373</v>
      </c>
      <c r="H20" s="17">
        <f t="shared" si="7"/>
        <v>370.045644950077</v>
      </c>
      <c r="I20" s="11" t="s">
        <v>32</v>
      </c>
      <c r="J20" s="12">
        <v>446.9</v>
      </c>
      <c r="K20" s="12">
        <f t="shared" si="0"/>
        <v>6.07235746937176</v>
      </c>
      <c r="L20" s="12">
        <f t="shared" si="1"/>
        <v>5.97021509883198</v>
      </c>
      <c r="M20" s="12">
        <v>0.753768844221105</v>
      </c>
      <c r="N20" s="12">
        <v>0.255778894472362</v>
      </c>
      <c r="O20" s="12">
        <f t="shared" si="2"/>
        <v>404.504896908865</v>
      </c>
      <c r="P20" s="12">
        <f t="shared" si="3"/>
        <v>377.716527752</v>
      </c>
      <c r="Q20">
        <f t="shared" si="8"/>
        <v>8.26113025183582</v>
      </c>
      <c r="R20">
        <f>AVERAGE(Q12:Q20)</f>
        <v>7.97702177378644</v>
      </c>
      <c r="S20">
        <f t="shared" si="9"/>
        <v>16.8767769480268</v>
      </c>
      <c r="T20">
        <f>AVERAGE(S12:S20)</f>
        <v>17.2266250811132</v>
      </c>
    </row>
    <row r="21" spans="1:20">
      <c r="A21" s="16" t="s">
        <v>33</v>
      </c>
      <c r="B21" s="17">
        <v>465.7</v>
      </c>
      <c r="C21" s="17">
        <f t="shared" si="4"/>
        <v>5.9260476335948</v>
      </c>
      <c r="D21" s="17">
        <f t="shared" si="5"/>
        <v>5.74233201283489</v>
      </c>
      <c r="E21" s="17">
        <v>5.1811168109105</v>
      </c>
      <c r="F21" s="17">
        <v>3.62152429376132</v>
      </c>
      <c r="G21" s="17">
        <f t="shared" si="6"/>
        <v>348.552504096269</v>
      </c>
      <c r="H21" s="17">
        <f t="shared" si="7"/>
        <v>310.450585854698</v>
      </c>
      <c r="I21" s="18"/>
    </row>
    <row r="22" spans="1:20">
      <c r="A22" s="16" t="s">
        <v>34</v>
      </c>
      <c r="B22" s="17">
        <v>490.7</v>
      </c>
      <c r="C22" s="17">
        <f t="shared" si="4"/>
        <v>5.75915961165611</v>
      </c>
      <c r="D22" s="17">
        <f t="shared" si="5"/>
        <v>5.57735883143707</v>
      </c>
      <c r="E22" s="17">
        <v>4.38475</v>
      </c>
      <c r="F22" s="17">
        <v>3.07075</v>
      </c>
      <c r="G22" s="17">
        <f t="shared" si="6"/>
        <v>294.97802271467</v>
      </c>
      <c r="H22" s="17">
        <f t="shared" si="7"/>
        <v>263.236156707704</v>
      </c>
      <c r="I22" s="18"/>
    </row>
    <row r="23" spans="1:20">
      <c r="A23" s="16" t="s">
        <v>35</v>
      </c>
      <c r="B23" s="17">
        <v>514.7</v>
      </c>
      <c r="C23" s="17">
        <f t="shared" si="4"/>
        <v>5.58230798679293</v>
      </c>
      <c r="D23" s="17">
        <f t="shared" si="5"/>
        <v>5.43460862991336</v>
      </c>
      <c r="E23" s="17">
        <v>3.674</v>
      </c>
      <c r="F23" s="17">
        <v>2.66225</v>
      </c>
      <c r="G23" s="17">
        <f t="shared" si="6"/>
        <v>247.163294476013</v>
      </c>
      <c r="H23" s="17">
        <f t="shared" si="7"/>
        <v>228.218011298571</v>
      </c>
      <c r="I23" s="18"/>
    </row>
    <row r="24" spans="1:20">
      <c r="A24" s="16" t="s">
        <v>36</v>
      </c>
      <c r="B24" s="17">
        <v>538.7</v>
      </c>
      <c r="C24" s="17">
        <f t="shared" si="4"/>
        <v>5.47181324252176</v>
      </c>
      <c r="D24" s="17">
        <f t="shared" si="5"/>
        <v>5.30914285668253</v>
      </c>
      <c r="E24" s="17">
        <v>3.28966666666667</v>
      </c>
      <c r="F24" s="17">
        <v>2.34833333333333</v>
      </c>
      <c r="G24" s="17">
        <f t="shared" si="6"/>
        <v>221.307798329139</v>
      </c>
      <c r="H24" s="17">
        <f t="shared" si="7"/>
        <v>201.307902413175</v>
      </c>
      <c r="I24" s="19" t="s">
        <v>37</v>
      </c>
      <c r="J24" s="4">
        <v>541.7</v>
      </c>
      <c r="K24" s="4">
        <f>LN(M24)+1.16682+0.590927+0.2</f>
        <v>5.45435304146565</v>
      </c>
      <c r="L24" s="4">
        <f>LN(N24)+2.052709-0.15</f>
        <v>5.28890272088394</v>
      </c>
      <c r="M24" s="4">
        <v>33.00325</v>
      </c>
      <c r="N24" s="4">
        <v>29.55325</v>
      </c>
      <c r="O24" s="4">
        <f>M24*$R$42*$R$49</f>
        <v>213.8574713309</v>
      </c>
      <c r="P24" s="4">
        <f>N24*$T$42*$T$49</f>
        <v>195.735390323979</v>
      </c>
      <c r="Q24">
        <f t="shared" ref="Q24:Q29" si="10">M24/E24</f>
        <v>10.0323994325666</v>
      </c>
      <c r="S24">
        <f t="shared" ref="S24:S29" si="11">N24/F24</f>
        <v>12.5847764371895</v>
      </c>
    </row>
    <row r="25" spans="1:20">
      <c r="A25" s="16" t="s">
        <v>38</v>
      </c>
      <c r="B25" s="17">
        <v>564.7</v>
      </c>
      <c r="C25" s="17">
        <f t="shared" si="4"/>
        <v>5.29426293793063</v>
      </c>
      <c r="D25" s="17">
        <f t="shared" si="5"/>
        <v>5.13232775804042</v>
      </c>
      <c r="E25" s="17">
        <v>2.7545</v>
      </c>
      <c r="F25" s="17">
        <v>1.96775</v>
      </c>
      <c r="G25" s="17">
        <f t="shared" si="6"/>
        <v>185.305197233037</v>
      </c>
      <c r="H25" s="17">
        <f t="shared" si="7"/>
        <v>168.682877916335</v>
      </c>
      <c r="I25" s="19" t="s">
        <v>39</v>
      </c>
      <c r="J25" s="4">
        <v>562.7</v>
      </c>
      <c r="K25" s="4">
        <f t="shared" ref="K25:K42" si="12">LN(M25)+1.16682+0.590927+0.2</f>
        <v>5.32194320351767</v>
      </c>
      <c r="L25" s="4">
        <f t="shared" ref="L25:L42" si="13">LN(N25)+2.052709-0.15</f>
        <v>5.15392616003886</v>
      </c>
      <c r="M25" s="4">
        <v>28.91025</v>
      </c>
      <c r="N25" s="4">
        <v>25.82175</v>
      </c>
      <c r="O25" s="4">
        <f t="shared" ref="O25:O42" si="14">M25*$R$42*$R$49</f>
        <v>187.335276390785</v>
      </c>
      <c r="P25" s="4">
        <f t="shared" ref="P25:P42" si="15">N25*$T$42*$T$49</f>
        <v>171.021133550395</v>
      </c>
      <c r="Q25">
        <f t="shared" si="10"/>
        <v>10.4956434924669</v>
      </c>
      <c r="S25">
        <f t="shared" si="11"/>
        <v>13.1224749078897</v>
      </c>
    </row>
    <row r="26" spans="1:20">
      <c r="A26" s="16" t="s">
        <v>40</v>
      </c>
      <c r="B26" s="17">
        <v>590.7</v>
      </c>
      <c r="C26" s="17">
        <f t="shared" si="4"/>
        <v>5.10520244296635</v>
      </c>
      <c r="D26" s="17">
        <f t="shared" si="5"/>
        <v>4.97408197281812</v>
      </c>
      <c r="E26" s="17">
        <v>2.28</v>
      </c>
      <c r="F26" s="17">
        <v>1.67975</v>
      </c>
      <c r="G26" s="17">
        <f t="shared" si="6"/>
        <v>153.38386265795</v>
      </c>
      <c r="H26" s="17">
        <f t="shared" si="7"/>
        <v>143.994442474889</v>
      </c>
      <c r="I26" s="19" t="s">
        <v>41</v>
      </c>
      <c r="J26" s="4">
        <v>588.7</v>
      </c>
      <c r="K26" s="4">
        <f t="shared" si="12"/>
        <v>5.16600667240501</v>
      </c>
      <c r="L26" s="4">
        <f t="shared" si="13"/>
        <v>4.99007424616599</v>
      </c>
      <c r="M26" s="4">
        <v>24.736</v>
      </c>
      <c r="N26" s="4">
        <v>21.91925</v>
      </c>
      <c r="O26" s="4">
        <f t="shared" si="14"/>
        <v>160.286590285537</v>
      </c>
      <c r="P26" s="4">
        <f t="shared" si="15"/>
        <v>145.174319384801</v>
      </c>
      <c r="Q26">
        <f t="shared" si="10"/>
        <v>10.8491228070175</v>
      </c>
      <c r="S26">
        <f t="shared" si="11"/>
        <v>13.0491144515553</v>
      </c>
    </row>
    <row r="27" spans="1:20">
      <c r="A27" s="16" t="s">
        <v>42</v>
      </c>
      <c r="B27" s="17">
        <v>612.7</v>
      </c>
      <c r="C27" s="17">
        <f t="shared" si="4"/>
        <v>4.98992449065118</v>
      </c>
      <c r="D27" s="17">
        <f t="shared" si="5"/>
        <v>4.84764799242975</v>
      </c>
      <c r="E27" s="17">
        <v>2.03175</v>
      </c>
      <c r="F27" s="17">
        <v>1.48025</v>
      </c>
      <c r="G27" s="17">
        <f t="shared" si="6"/>
        <v>136.683185506706</v>
      </c>
      <c r="H27" s="17">
        <f t="shared" si="7"/>
        <v>126.892557507638</v>
      </c>
      <c r="I27" s="19" t="s">
        <v>42</v>
      </c>
      <c r="J27" s="4">
        <v>612.7</v>
      </c>
      <c r="K27" s="4">
        <f t="shared" si="12"/>
        <v>5.01770915331671</v>
      </c>
      <c r="L27" s="4">
        <f t="shared" si="13"/>
        <v>4.86802072511583</v>
      </c>
      <c r="M27" s="4">
        <v>21.32675</v>
      </c>
      <c r="N27" s="4">
        <v>19.40075</v>
      </c>
      <c r="O27" s="4">
        <f t="shared" si="14"/>
        <v>138.195020996607</v>
      </c>
      <c r="P27" s="4">
        <f t="shared" si="15"/>
        <v>128.493934637576</v>
      </c>
      <c r="Q27">
        <f t="shared" si="10"/>
        <v>10.4967392641811</v>
      </c>
      <c r="S27">
        <f t="shared" si="11"/>
        <v>13.1064009457862</v>
      </c>
    </row>
    <row r="28" spans="1:20">
      <c r="A28" s="16" t="s">
        <v>43</v>
      </c>
      <c r="B28" s="17">
        <v>634.7</v>
      </c>
      <c r="C28" s="17">
        <f t="shared" si="4"/>
        <v>4.83145787835835</v>
      </c>
      <c r="D28" s="17">
        <f t="shared" si="5"/>
        <v>4.69504427734487</v>
      </c>
      <c r="E28" s="17">
        <v>1.734</v>
      </c>
      <c r="F28" s="17">
        <v>1.27075</v>
      </c>
      <c r="G28" s="17">
        <f t="shared" si="6"/>
        <v>116.652463968809</v>
      </c>
      <c r="H28" s="17">
        <f t="shared" si="7"/>
        <v>108.93343519867</v>
      </c>
      <c r="I28" s="19" t="s">
        <v>44</v>
      </c>
      <c r="J28" s="4">
        <v>636.7</v>
      </c>
      <c r="K28" s="4">
        <f t="shared" si="12"/>
        <v>4.84057649753475</v>
      </c>
      <c r="L28" s="4">
        <f t="shared" si="13"/>
        <v>4.7020765717579</v>
      </c>
      <c r="M28" s="4">
        <v>17.86475</v>
      </c>
      <c r="N28" s="4">
        <v>16.43425</v>
      </c>
      <c r="O28" s="4">
        <f t="shared" si="14"/>
        <v>115.761637443546</v>
      </c>
      <c r="P28" s="4">
        <f t="shared" si="15"/>
        <v>108.846381986139</v>
      </c>
      <c r="Q28">
        <f t="shared" si="10"/>
        <v>10.3026239907728</v>
      </c>
      <c r="S28">
        <f t="shared" si="11"/>
        <v>12.9327168994688</v>
      </c>
    </row>
    <row r="29" spans="1:20">
      <c r="A29" s="16" t="s">
        <v>45</v>
      </c>
      <c r="B29" s="17">
        <v>658.7</v>
      </c>
      <c r="C29" s="17">
        <f t="shared" si="4"/>
        <v>4.71020863472548</v>
      </c>
      <c r="D29" s="17">
        <f t="shared" si="5"/>
        <v>4.55844475007423</v>
      </c>
      <c r="E29" s="17">
        <v>1.536</v>
      </c>
      <c r="F29" s="17">
        <v>1.1085</v>
      </c>
      <c r="G29" s="17">
        <f t="shared" si="6"/>
        <v>103.332286422198</v>
      </c>
      <c r="H29" s="17">
        <f t="shared" si="7"/>
        <v>95.0247593293138</v>
      </c>
      <c r="I29" s="19" t="s">
        <v>46</v>
      </c>
      <c r="J29" s="4">
        <v>657.7</v>
      </c>
      <c r="K29" s="4">
        <f t="shared" si="12"/>
        <v>4.70093909434727</v>
      </c>
      <c r="L29" s="4">
        <f t="shared" si="13"/>
        <v>4.56006222011255</v>
      </c>
      <c r="M29" s="4">
        <v>15.5365</v>
      </c>
      <c r="N29" s="4">
        <v>14.2585</v>
      </c>
      <c r="O29" s="4">
        <f t="shared" si="14"/>
        <v>100.674830610092</v>
      </c>
      <c r="P29" s="4">
        <f t="shared" si="15"/>
        <v>94.4360793799143</v>
      </c>
      <c r="Q29">
        <f t="shared" si="10"/>
        <v>10.1149088541667</v>
      </c>
      <c r="R29">
        <f>AVERAGE(Q24:Q29)</f>
        <v>10.3819063068619</v>
      </c>
      <c r="S29">
        <f t="shared" si="11"/>
        <v>12.8628777627424</v>
      </c>
      <c r="T29">
        <f>AVERAGE(S24:S29)</f>
        <v>12.9430602341053</v>
      </c>
    </row>
    <row r="30" spans="1:20">
      <c r="I30" s="19" t="s">
        <v>47</v>
      </c>
      <c r="J30" s="4">
        <v>684.7</v>
      </c>
      <c r="K30" s="4">
        <f t="shared" si="12"/>
        <v>4.53110322818112</v>
      </c>
      <c r="L30" s="4">
        <f t="shared" si="13"/>
        <v>4.4103347716104</v>
      </c>
      <c r="M30" s="4">
        <v>13.10975</v>
      </c>
      <c r="N30" s="4">
        <v>12.27575</v>
      </c>
      <c r="O30" s="4">
        <f t="shared" si="14"/>
        <v>84.9497544872178</v>
      </c>
      <c r="P30" s="4">
        <f t="shared" si="15"/>
        <v>81.3040433038527</v>
      </c>
    </row>
    <row r="31" spans="1:20">
      <c r="I31" s="19" t="s">
        <v>48</v>
      </c>
      <c r="J31" s="4">
        <v>706.7</v>
      </c>
      <c r="K31" s="4">
        <f t="shared" si="12"/>
        <v>4.37982477747877</v>
      </c>
      <c r="L31" s="4">
        <f t="shared" si="13"/>
        <v>4.26259555215808</v>
      </c>
      <c r="M31" s="4">
        <v>11.26925</v>
      </c>
      <c r="N31" s="4">
        <v>10.58975</v>
      </c>
      <c r="O31" s="4">
        <f t="shared" si="14"/>
        <v>73.023514617371</v>
      </c>
      <c r="P31" s="4">
        <f t="shared" si="15"/>
        <v>70.1374248071991</v>
      </c>
    </row>
    <row r="32" spans="1:20">
      <c r="I32" s="19" t="s">
        <v>49</v>
      </c>
      <c r="J32" s="4">
        <v>729.7</v>
      </c>
      <c r="K32" s="4">
        <f t="shared" si="12"/>
        <v>4.24824826563266</v>
      </c>
      <c r="L32" s="4">
        <f t="shared" si="13"/>
        <v>4.10846906267914</v>
      </c>
      <c r="M32" s="4">
        <v>9.87988888888889</v>
      </c>
      <c r="N32" s="4">
        <v>9.07714814814815</v>
      </c>
      <c r="O32" s="4">
        <f t="shared" si="14"/>
        <v>64.0206056921072</v>
      </c>
      <c r="P32" s="4">
        <f t="shared" si="15"/>
        <v>60.1192469798198</v>
      </c>
    </row>
    <row r="33" spans="1:20">
      <c r="I33" s="19" t="s">
        <v>50</v>
      </c>
      <c r="J33" s="4">
        <v>754.7</v>
      </c>
      <c r="K33" s="4">
        <f t="shared" si="12"/>
        <v>4.1025958259584</v>
      </c>
      <c r="L33" s="4">
        <f t="shared" si="13"/>
        <v>3.98492793116044</v>
      </c>
      <c r="M33" s="4">
        <v>8.54075</v>
      </c>
      <c r="N33" s="4">
        <v>8.02225</v>
      </c>
      <c r="O33" s="4">
        <f t="shared" si="14"/>
        <v>55.3431313058377</v>
      </c>
      <c r="P33" s="4">
        <f t="shared" si="15"/>
        <v>53.1325060704504</v>
      </c>
    </row>
    <row r="34" spans="1:20">
      <c r="I34" s="19" t="s">
        <v>51</v>
      </c>
      <c r="J34" s="4">
        <v>777.7</v>
      </c>
      <c r="K34" s="4">
        <f t="shared" si="12"/>
        <v>3.94243133395826</v>
      </c>
      <c r="L34" s="4">
        <f t="shared" si="13"/>
        <v>3.84159453411835</v>
      </c>
      <c r="M34" s="4">
        <v>7.27675</v>
      </c>
      <c r="N34" s="4">
        <v>6.951</v>
      </c>
      <c r="O34" s="4">
        <f t="shared" si="14"/>
        <v>47.1525487492029</v>
      </c>
      <c r="P34" s="4">
        <f t="shared" si="15"/>
        <v>46.0374645137837</v>
      </c>
    </row>
    <row r="35" spans="1:20">
      <c r="I35" s="19" t="s">
        <v>52</v>
      </c>
      <c r="J35" s="4">
        <v>801.7</v>
      </c>
      <c r="K35" s="4">
        <f t="shared" si="12"/>
        <v>3.77724322419965</v>
      </c>
      <c r="L35" s="4">
        <f t="shared" si="13"/>
        <v>3.68159428474445</v>
      </c>
      <c r="M35" s="4">
        <v>6.16875</v>
      </c>
      <c r="N35" s="4">
        <v>5.92325</v>
      </c>
      <c r="O35" s="4">
        <f t="shared" si="14"/>
        <v>39.9728292296211</v>
      </c>
      <c r="P35" s="4">
        <f t="shared" si="15"/>
        <v>39.2305296621017</v>
      </c>
    </row>
    <row r="36" spans="1:20">
      <c r="I36" s="19" t="s">
        <v>53</v>
      </c>
      <c r="J36" s="4">
        <v>827.7</v>
      </c>
      <c r="K36" s="4">
        <f t="shared" si="12"/>
        <v>3.63703741433293</v>
      </c>
      <c r="L36" s="4">
        <f t="shared" si="13"/>
        <v>3.52944640951216</v>
      </c>
      <c r="M36" s="4">
        <v>5.36175</v>
      </c>
      <c r="N36" s="4">
        <v>5.08725</v>
      </c>
      <c r="O36" s="4">
        <f t="shared" si="14"/>
        <v>34.7435569802506</v>
      </c>
      <c r="P36" s="4">
        <f t="shared" si="15"/>
        <v>33.6935824122782</v>
      </c>
    </row>
    <row r="37" spans="1:20">
      <c r="I37" s="19" t="s">
        <v>54</v>
      </c>
      <c r="J37" s="4">
        <v>853.7</v>
      </c>
      <c r="K37" s="4">
        <f t="shared" si="12"/>
        <v>3.46237979806797</v>
      </c>
      <c r="L37" s="4">
        <f t="shared" si="13"/>
        <v>3.4004329228041</v>
      </c>
      <c r="M37" s="4">
        <v>4.5025</v>
      </c>
      <c r="N37" s="4">
        <v>4.4715</v>
      </c>
      <c r="O37" s="4">
        <f t="shared" si="14"/>
        <v>29.17571041238</v>
      </c>
      <c r="P37" s="4">
        <f t="shared" si="15"/>
        <v>29.6153823296481</v>
      </c>
    </row>
    <row r="38" spans="1:20">
      <c r="I38" s="19" t="s">
        <v>55</v>
      </c>
      <c r="J38" s="4">
        <v>873.7</v>
      </c>
      <c r="K38" s="4">
        <f t="shared" si="12"/>
        <v>3.35831402040661</v>
      </c>
      <c r="L38" s="4">
        <f t="shared" si="13"/>
        <v>3.30235137863939</v>
      </c>
      <c r="M38" s="4">
        <v>4.0575</v>
      </c>
      <c r="N38" s="4">
        <v>4.05375</v>
      </c>
      <c r="O38" s="4">
        <f t="shared" si="14"/>
        <v>26.2921588002736</v>
      </c>
      <c r="P38" s="4">
        <f t="shared" si="15"/>
        <v>26.8485644903971</v>
      </c>
    </row>
    <row r="39" spans="1:20">
      <c r="A39" s="20" t="s">
        <v>56</v>
      </c>
      <c r="B39" s="14">
        <v>898.7</v>
      </c>
      <c r="C39" s="14">
        <f>LN(E39)+0.590927+0.2</f>
        <v>3.11321667626838</v>
      </c>
      <c r="D39" s="14">
        <f>LN(F39)+0.904047-0.15</f>
        <v>3.13315322256845</v>
      </c>
      <c r="E39" s="14">
        <v>10.199</v>
      </c>
      <c r="F39" s="14">
        <v>10.79525</v>
      </c>
      <c r="G39" s="14">
        <f>E39*$R$49</f>
        <v>22.1260394851039</v>
      </c>
      <c r="H39" s="14">
        <f>F39*$T$49</f>
        <v>23.1399178263022</v>
      </c>
      <c r="I39" s="19" t="s">
        <v>57</v>
      </c>
      <c r="J39" s="4">
        <v>897.7</v>
      </c>
      <c r="K39" s="4">
        <f t="shared" si="12"/>
        <v>3.17510482393606</v>
      </c>
      <c r="L39" s="4">
        <f t="shared" si="13"/>
        <v>3.12758676500583</v>
      </c>
      <c r="M39" s="4">
        <v>3.37825</v>
      </c>
      <c r="N39" s="4">
        <v>3.40375</v>
      </c>
      <c r="O39" s="4">
        <f t="shared" si="14"/>
        <v>21.8906926597718</v>
      </c>
      <c r="P39" s="4">
        <f t="shared" si="15"/>
        <v>22.5435217722329</v>
      </c>
      <c r="Q39">
        <f>E39/M39</f>
        <v>3.01901872271146</v>
      </c>
      <c r="S39">
        <f>F39/N39</f>
        <v>3.17157546823357</v>
      </c>
    </row>
    <row r="40" spans="1:20">
      <c r="A40" s="20" t="s">
        <v>58</v>
      </c>
      <c r="B40" s="14">
        <v>921.7</v>
      </c>
      <c r="C40" s="14">
        <f t="shared" ref="C40:C49" si="16">LN(E40)+0.590927+0.2</f>
        <v>2.93022816507723</v>
      </c>
      <c r="D40" s="14">
        <f t="shared" ref="D40:D49" si="17">LN(F40)+0.904047-0.15</f>
        <v>3.01411595589097</v>
      </c>
      <c r="E40" s="14">
        <v>8.4935</v>
      </c>
      <c r="F40" s="14">
        <v>9.58375</v>
      </c>
      <c r="G40" s="14">
        <f t="shared" ref="G40:G49" si="18">E40*$R$49</f>
        <v>18.426072788188</v>
      </c>
      <c r="H40" s="14">
        <f t="shared" ref="H40:H49" si="19">F40*$T$49</f>
        <v>20.5430339702947</v>
      </c>
      <c r="I40" s="19" t="s">
        <v>59</v>
      </c>
      <c r="J40" s="4">
        <v>922.7</v>
      </c>
      <c r="K40" s="4">
        <f t="shared" si="12"/>
        <v>3.01943593456351</v>
      </c>
      <c r="L40" s="4">
        <f t="shared" si="13"/>
        <v>3.02463083143707</v>
      </c>
      <c r="M40" s="4">
        <v>2.89125</v>
      </c>
      <c r="N40" s="4">
        <v>3.07075</v>
      </c>
      <c r="O40" s="4">
        <f t="shared" si="14"/>
        <v>18.7349856146127</v>
      </c>
      <c r="P40" s="4">
        <f t="shared" si="15"/>
        <v>20.3380152720042</v>
      </c>
      <c r="Q40">
        <f>E40/M40</f>
        <v>2.93765672287073</v>
      </c>
      <c r="S40">
        <f>F40/N40</f>
        <v>3.12098021655947</v>
      </c>
    </row>
    <row r="41" spans="1:20">
      <c r="A41" s="20" t="s">
        <v>60</v>
      </c>
      <c r="B41" s="14">
        <v>947.7</v>
      </c>
      <c r="C41" s="14">
        <f t="shared" si="16"/>
        <v>2.81369897892096</v>
      </c>
      <c r="D41" s="14">
        <f t="shared" si="17"/>
        <v>2.86640940430383</v>
      </c>
      <c r="E41" s="14">
        <v>7.55925</v>
      </c>
      <c r="F41" s="14">
        <v>8.26775</v>
      </c>
      <c r="G41" s="14">
        <f t="shared" si="18"/>
        <v>16.399280711616</v>
      </c>
      <c r="H41" s="14">
        <f t="shared" si="19"/>
        <v>17.7221514655437</v>
      </c>
      <c r="I41" s="19" t="s">
        <v>61</v>
      </c>
      <c r="J41" s="4">
        <v>945.7</v>
      </c>
      <c r="K41" s="4">
        <f t="shared" si="12"/>
        <v>2.89560350978872</v>
      </c>
      <c r="L41" s="4">
        <f t="shared" si="13"/>
        <v>2.89790332946962</v>
      </c>
      <c r="M41" s="4">
        <v>2.5545</v>
      </c>
      <c r="N41" s="4">
        <v>2.70525</v>
      </c>
      <c r="O41" s="4">
        <f t="shared" si="14"/>
        <v>16.5528822317434</v>
      </c>
      <c r="P41" s="4">
        <f t="shared" si="15"/>
        <v>17.9172566358673</v>
      </c>
      <c r="Q41">
        <f>E41/M41</f>
        <v>2.95918966529654</v>
      </c>
      <c r="S41">
        <f>F41/N41</f>
        <v>3.0561870437113</v>
      </c>
    </row>
    <row r="42" spans="1:20">
      <c r="A42" s="20" t="s">
        <v>62</v>
      </c>
      <c r="B42" s="14">
        <v>969.7</v>
      </c>
      <c r="C42" s="14">
        <f t="shared" si="16"/>
        <v>2.66134360205133</v>
      </c>
      <c r="D42" s="14">
        <f t="shared" si="17"/>
        <v>2.74479393066451</v>
      </c>
      <c r="E42" s="14">
        <v>6.491</v>
      </c>
      <c r="F42" s="14">
        <v>7.321</v>
      </c>
      <c r="G42" s="14">
        <f t="shared" si="18"/>
        <v>14.0817847139729</v>
      </c>
      <c r="H42" s="14">
        <f t="shared" si="19"/>
        <v>15.6927665784821</v>
      </c>
      <c r="I42" s="19" t="s">
        <v>63</v>
      </c>
      <c r="J42" s="4">
        <v>971.7</v>
      </c>
      <c r="K42" s="4">
        <f t="shared" si="12"/>
        <v>2.71902000960755</v>
      </c>
      <c r="L42" s="4">
        <f t="shared" si="13"/>
        <v>2.79132016276741</v>
      </c>
      <c r="M42" s="4">
        <v>2.141</v>
      </c>
      <c r="N42" s="4">
        <v>2.43175</v>
      </c>
      <c r="O42" s="4">
        <f t="shared" si="14"/>
        <v>13.8734471944265</v>
      </c>
      <c r="P42" s="4">
        <f t="shared" si="15"/>
        <v>16.1058271229166</v>
      </c>
      <c r="Q42">
        <f>E42/M42</f>
        <v>3.03176085941149</v>
      </c>
      <c r="R42">
        <f>AVERAGE(Q39:Q42)</f>
        <v>2.98690649257255</v>
      </c>
      <c r="S42">
        <f>F42/N42</f>
        <v>3.01058908193688</v>
      </c>
      <c r="T42">
        <f>AVERAGE(S39:S42)</f>
        <v>3.0898329526103</v>
      </c>
    </row>
    <row r="43" spans="1:20">
      <c r="A43" s="20" t="s">
        <v>64</v>
      </c>
      <c r="B43" s="14">
        <v>994.7</v>
      </c>
      <c r="C43" s="14">
        <f t="shared" si="16"/>
        <v>2.51885880648189</v>
      </c>
      <c r="D43" s="14">
        <f t="shared" si="17"/>
        <v>2.64949058050494</v>
      </c>
      <c r="E43" s="14">
        <v>5.629</v>
      </c>
      <c r="F43" s="14">
        <v>6.6555</v>
      </c>
      <c r="G43" s="14">
        <f t="shared" si="18"/>
        <v>12.2117341172321</v>
      </c>
      <c r="H43" s="14">
        <f t="shared" si="19"/>
        <v>14.2662488680628</v>
      </c>
      <c r="I43" s="18"/>
    </row>
    <row r="44" spans="1:20">
      <c r="A44" s="20" t="s">
        <v>65</v>
      </c>
      <c r="B44" s="14">
        <v>1022.7</v>
      </c>
      <c r="C44" s="14">
        <f t="shared" si="16"/>
        <v>2.33112200969194</v>
      </c>
      <c r="D44" s="14">
        <f t="shared" si="17"/>
        <v>2.52095863625829</v>
      </c>
      <c r="E44" s="14">
        <v>4.6655</v>
      </c>
      <c r="F44" s="14">
        <v>5.85275</v>
      </c>
      <c r="G44" s="14">
        <f t="shared" si="18"/>
        <v>10.1214861474411</v>
      </c>
      <c r="H44" s="14">
        <f t="shared" si="19"/>
        <v>12.545531975442</v>
      </c>
      <c r="I44" s="18"/>
    </row>
    <row r="45" spans="1:20">
      <c r="A45" s="20" t="s">
        <v>66</v>
      </c>
      <c r="B45" s="14">
        <v>1043.7</v>
      </c>
      <c r="C45" s="14">
        <f t="shared" si="16"/>
        <v>2.21445693210473</v>
      </c>
      <c r="D45" s="14">
        <f t="shared" si="17"/>
        <v>2.4287575390503</v>
      </c>
      <c r="E45" s="14">
        <v>4.15175</v>
      </c>
      <c r="F45" s="14">
        <v>5.33725</v>
      </c>
      <c r="G45" s="14">
        <f t="shared" si="18"/>
        <v>9.00694033064811</v>
      </c>
      <c r="H45" s="14">
        <f t="shared" si="19"/>
        <v>11.4405434258986</v>
      </c>
      <c r="I45" s="18"/>
    </row>
    <row r="46" spans="1:20">
      <c r="A46" s="20" t="s">
        <v>67</v>
      </c>
      <c r="B46" s="14">
        <v>1067.7</v>
      </c>
      <c r="C46" s="14">
        <f t="shared" si="16"/>
        <v>2.05836743977005</v>
      </c>
      <c r="D46" s="14">
        <f t="shared" si="17"/>
        <v>2.33075508781118</v>
      </c>
      <c r="E46" s="14">
        <v>3.55175</v>
      </c>
      <c r="F46" s="14">
        <v>4.839</v>
      </c>
      <c r="G46" s="14">
        <f t="shared" si="18"/>
        <v>7.70528098256866</v>
      </c>
      <c r="H46" s="14">
        <f t="shared" si="19"/>
        <v>10.3725307298559</v>
      </c>
      <c r="I46" s="21" t="s">
        <v>68</v>
      </c>
      <c r="J46" s="22">
        <v>1068.7</v>
      </c>
      <c r="K46" s="22">
        <f t="shared" ref="K46:K64" si="20">LN(M46)</f>
        <v>2.04846673738041</v>
      </c>
      <c r="L46" s="22">
        <f t="shared" ref="L46:L64" si="21">LN((N46))</f>
        <v>2.33476182468927</v>
      </c>
      <c r="M46" s="22">
        <v>7.756</v>
      </c>
      <c r="N46" s="22">
        <v>10.327</v>
      </c>
      <c r="O46" s="22"/>
      <c r="P46" s="22"/>
      <c r="Q46">
        <f>M46/E46</f>
        <v>2.18371225452242</v>
      </c>
      <c r="S46">
        <f>N46/F46</f>
        <v>2.13411861954949</v>
      </c>
    </row>
    <row r="47" spans="1:20">
      <c r="A47" s="20" t="s">
        <v>69</v>
      </c>
      <c r="B47" s="14">
        <v>1092.7</v>
      </c>
      <c r="C47" s="14">
        <f t="shared" si="16"/>
        <v>1.96113617417313</v>
      </c>
      <c r="D47" s="14">
        <f t="shared" si="17"/>
        <v>2.24934523169252</v>
      </c>
      <c r="E47" s="14">
        <v>3.22266666666667</v>
      </c>
      <c r="F47" s="14">
        <v>4.46066666666667</v>
      </c>
      <c r="G47" s="14">
        <f t="shared" si="18"/>
        <v>6.9913569873512</v>
      </c>
      <c r="H47" s="14">
        <f t="shared" si="19"/>
        <v>9.56156273520227</v>
      </c>
      <c r="I47" s="21" t="s">
        <v>70</v>
      </c>
      <c r="J47" s="22">
        <v>1090.7</v>
      </c>
      <c r="K47" s="22">
        <f t="shared" si="20"/>
        <v>1.91142961206599</v>
      </c>
      <c r="L47" s="22">
        <f t="shared" si="21"/>
        <v>2.2308473864631</v>
      </c>
      <c r="M47" s="22">
        <v>6.76275</v>
      </c>
      <c r="N47" s="22">
        <v>9.30775</v>
      </c>
      <c r="O47" s="22"/>
      <c r="P47" s="22"/>
      <c r="Q47">
        <f>M47/E47</f>
        <v>2.09849503516756</v>
      </c>
      <c r="S47">
        <f>N47/F47</f>
        <v>2.08662755940816</v>
      </c>
    </row>
    <row r="48" spans="1:20">
      <c r="A48" s="20" t="s">
        <v>71</v>
      </c>
      <c r="B48" s="14">
        <v>1115.7</v>
      </c>
      <c r="C48" s="14">
        <f t="shared" si="16"/>
        <v>1.7693471033397</v>
      </c>
      <c r="D48" s="14">
        <f t="shared" si="17"/>
        <v>2.1224955679743</v>
      </c>
      <c r="E48" s="14">
        <v>2.66025</v>
      </c>
      <c r="F48" s="14">
        <v>3.92925</v>
      </c>
      <c r="G48" s="14">
        <f t="shared" si="18"/>
        <v>5.77123213454727</v>
      </c>
      <c r="H48" s="14">
        <f t="shared" si="19"/>
        <v>8.42245636914366</v>
      </c>
      <c r="I48" s="21" t="s">
        <v>72</v>
      </c>
      <c r="J48" s="22">
        <v>1116.7</v>
      </c>
      <c r="K48" s="22">
        <f t="shared" si="20"/>
        <v>1.74134298331404</v>
      </c>
      <c r="L48" s="22">
        <f t="shared" si="21"/>
        <v>2.14481955409598</v>
      </c>
      <c r="M48" s="22">
        <v>5.705</v>
      </c>
      <c r="N48" s="22">
        <v>8.5405</v>
      </c>
      <c r="O48" s="22"/>
      <c r="P48" s="22"/>
      <c r="Q48">
        <f>M48/E48</f>
        <v>2.14453528803684</v>
      </c>
      <c r="S48">
        <f>N48/F48</f>
        <v>2.17357001972387</v>
      </c>
    </row>
    <row r="49" spans="1:20">
      <c r="A49" s="20" t="s">
        <v>73</v>
      </c>
      <c r="B49" s="14">
        <v>1139.7</v>
      </c>
      <c r="C49" s="14">
        <f t="shared" si="16"/>
        <v>1.61554094330225</v>
      </c>
      <c r="D49" s="14">
        <f t="shared" si="17"/>
        <v>2.03650745737468</v>
      </c>
      <c r="E49" s="14">
        <v>2.281</v>
      </c>
      <c r="F49" s="14">
        <v>3.6055</v>
      </c>
      <c r="G49" s="14">
        <f t="shared" si="18"/>
        <v>4.94847495494872</v>
      </c>
      <c r="H49" s="14">
        <f t="shared" si="19"/>
        <v>7.72848926358655</v>
      </c>
      <c r="I49" s="21" t="s">
        <v>74</v>
      </c>
      <c r="J49" s="22">
        <v>1138.7</v>
      </c>
      <c r="K49" s="22">
        <f t="shared" si="20"/>
        <v>1.63598246765621</v>
      </c>
      <c r="L49" s="22">
        <f t="shared" si="21"/>
        <v>2.06169118204102</v>
      </c>
      <c r="M49" s="22">
        <v>5.1345</v>
      </c>
      <c r="N49" s="22">
        <v>7.85925</v>
      </c>
      <c r="O49" s="22"/>
      <c r="P49" s="22"/>
      <c r="Q49">
        <f>M49/E49</f>
        <v>2.25098640946953</v>
      </c>
      <c r="R49">
        <f>AVERAGE(Q46:Q49)</f>
        <v>2.16943224679909</v>
      </c>
      <c r="S49">
        <f>N49/F49</f>
        <v>2.1797947580086</v>
      </c>
      <c r="T49">
        <f>AVERAGE(S46:S49)</f>
        <v>2.14352773917253</v>
      </c>
    </row>
    <row r="50" spans="1:20">
      <c r="I50" s="21" t="s">
        <v>75</v>
      </c>
      <c r="J50" s="22">
        <v>1163.7</v>
      </c>
      <c r="K50" s="22">
        <f t="shared" si="20"/>
        <v>1.48704426422003</v>
      </c>
      <c r="L50" s="22">
        <f t="shared" si="21"/>
        <v>1.97310833088522</v>
      </c>
      <c r="M50" s="22">
        <v>4.424</v>
      </c>
      <c r="N50" s="22">
        <v>7.193</v>
      </c>
      <c r="O50" s="22"/>
      <c r="P50" s="22"/>
    </row>
    <row r="51" spans="1:20">
      <c r="I51" s="21" t="s">
        <v>76</v>
      </c>
      <c r="J51" s="22">
        <v>1187.7</v>
      </c>
      <c r="K51" s="22">
        <f t="shared" si="20"/>
        <v>1.36851219132409</v>
      </c>
      <c r="L51" s="22">
        <f t="shared" si="21"/>
        <v>1.89660735351287</v>
      </c>
      <c r="M51" s="22">
        <v>3.9295</v>
      </c>
      <c r="N51" s="22">
        <v>6.66325</v>
      </c>
      <c r="O51" s="22"/>
      <c r="P51" s="22"/>
    </row>
    <row r="52" spans="1:20">
      <c r="I52" s="21" t="s">
        <v>77</v>
      </c>
      <c r="J52" s="22">
        <v>1211.7</v>
      </c>
      <c r="K52" s="22">
        <f t="shared" si="20"/>
        <v>1.2519769453744</v>
      </c>
      <c r="L52" s="22">
        <f t="shared" si="21"/>
        <v>1.81795501688615</v>
      </c>
      <c r="M52" s="22">
        <v>3.49725</v>
      </c>
      <c r="N52" s="22">
        <v>6.15925</v>
      </c>
      <c r="O52" s="22"/>
      <c r="P52" s="22"/>
    </row>
    <row r="53" spans="1:20">
      <c r="I53" s="21" t="s">
        <v>78</v>
      </c>
      <c r="J53" s="22">
        <v>1235.7</v>
      </c>
      <c r="K53" s="22">
        <f t="shared" si="20"/>
        <v>1.10635997545893</v>
      </c>
      <c r="L53" s="22">
        <f t="shared" si="21"/>
        <v>1.76615672036707</v>
      </c>
      <c r="M53" s="22">
        <v>3.02333333333333</v>
      </c>
      <c r="N53" s="22">
        <v>5.84833333333333</v>
      </c>
      <c r="O53" s="22"/>
      <c r="P53" s="22"/>
    </row>
    <row r="54" spans="1:20">
      <c r="I54" s="21" t="s">
        <v>79</v>
      </c>
      <c r="J54" s="22">
        <v>1259.7</v>
      </c>
      <c r="K54" s="22">
        <f t="shared" si="20"/>
        <v>0.95880272611151</v>
      </c>
      <c r="L54" s="22">
        <f t="shared" si="21"/>
        <v>1.67442276252351</v>
      </c>
      <c r="M54" s="22">
        <v>2.60857142857143</v>
      </c>
      <c r="N54" s="22">
        <v>5.33571428571429</v>
      </c>
      <c r="O54" s="22"/>
      <c r="P54" s="22"/>
    </row>
    <row r="55" spans="1:20">
      <c r="I55" s="21" t="s">
        <v>80</v>
      </c>
      <c r="J55" s="22">
        <v>1284.7</v>
      </c>
      <c r="K55" s="22">
        <f t="shared" si="20"/>
        <v>0.81070796929909</v>
      </c>
      <c r="L55" s="22">
        <f t="shared" si="21"/>
        <v>1.59274943114787</v>
      </c>
      <c r="M55" s="22">
        <v>2.2495</v>
      </c>
      <c r="N55" s="22">
        <v>4.91725</v>
      </c>
      <c r="O55" s="22"/>
      <c r="P55" s="22"/>
    </row>
    <row r="56" spans="1:20">
      <c r="I56" s="21" t="s">
        <v>81</v>
      </c>
      <c r="J56" s="22">
        <v>1308.7</v>
      </c>
      <c r="K56" s="22">
        <f t="shared" si="20"/>
        <v>0.692146680226362</v>
      </c>
      <c r="L56" s="22">
        <f t="shared" si="21"/>
        <v>1.52893259777445</v>
      </c>
      <c r="M56" s="22">
        <v>1.998</v>
      </c>
      <c r="N56" s="22">
        <v>4.61325</v>
      </c>
      <c r="O56" s="22"/>
      <c r="P56" s="22"/>
    </row>
    <row r="57" spans="1:20">
      <c r="I57" s="21" t="s">
        <v>82</v>
      </c>
      <c r="J57" s="22">
        <v>1333.7</v>
      </c>
      <c r="K57" s="22">
        <f t="shared" si="20"/>
        <v>0.572673027092071</v>
      </c>
      <c r="L57" s="22">
        <f t="shared" si="21"/>
        <v>1.47950005531971</v>
      </c>
      <c r="M57" s="22">
        <v>1.773</v>
      </c>
      <c r="N57" s="22">
        <v>4.39075</v>
      </c>
      <c r="O57" s="22"/>
      <c r="P57" s="22"/>
    </row>
    <row r="58" spans="1:20">
      <c r="I58" s="21" t="s">
        <v>83</v>
      </c>
      <c r="J58" s="22">
        <v>1361.7</v>
      </c>
      <c r="K58" s="22">
        <f t="shared" si="20"/>
        <v>0.473123756581979</v>
      </c>
      <c r="L58" s="22">
        <f t="shared" si="21"/>
        <v>1.4410784306562</v>
      </c>
      <c r="M58" s="22">
        <v>1.605</v>
      </c>
      <c r="N58" s="22">
        <v>4.22525</v>
      </c>
      <c r="O58" s="22"/>
      <c r="P58" s="22"/>
    </row>
    <row r="59" spans="1:20">
      <c r="I59" s="21" t="s">
        <v>84</v>
      </c>
      <c r="J59" s="22">
        <v>1375.7</v>
      </c>
      <c r="K59" s="22">
        <f t="shared" si="20"/>
        <v>0.431457688382418</v>
      </c>
      <c r="L59" s="22">
        <f t="shared" si="21"/>
        <v>1.4080558529014</v>
      </c>
      <c r="M59" s="22">
        <v>1.5395</v>
      </c>
      <c r="N59" s="22">
        <v>4.088</v>
      </c>
      <c r="O59" s="22"/>
      <c r="P59" s="22"/>
    </row>
    <row r="60" spans="1:20">
      <c r="I60" s="21" t="s">
        <v>85</v>
      </c>
      <c r="J60" s="22">
        <v>1411.7</v>
      </c>
      <c r="K60" s="22">
        <f t="shared" si="20"/>
        <v>0.319907219746518</v>
      </c>
      <c r="L60" s="22">
        <f t="shared" si="21"/>
        <v>1.34142773977978</v>
      </c>
      <c r="M60" s="22">
        <v>1.377</v>
      </c>
      <c r="N60" s="22">
        <v>3.8245</v>
      </c>
      <c r="O60" s="22"/>
      <c r="P60" s="22"/>
    </row>
    <row r="61" spans="1:20">
      <c r="I61" s="21" t="s">
        <v>86</v>
      </c>
      <c r="J61" s="22">
        <v>1430.7</v>
      </c>
      <c r="K61" s="22">
        <f t="shared" si="20"/>
        <v>0.215716035485413</v>
      </c>
      <c r="L61" s="22">
        <f t="shared" si="21"/>
        <v>1.3232879989604</v>
      </c>
      <c r="M61" s="22">
        <v>1.24075</v>
      </c>
      <c r="N61" s="22">
        <v>3.75575</v>
      </c>
      <c r="O61" s="22"/>
      <c r="P61" s="22"/>
    </row>
    <row r="62" spans="1:20">
      <c r="I62" s="21" t="s">
        <v>87</v>
      </c>
      <c r="J62" s="22">
        <v>1460.7</v>
      </c>
      <c r="K62" s="22">
        <f t="shared" si="20"/>
        <v>0.122881129375815</v>
      </c>
      <c r="L62" s="22">
        <f t="shared" si="21"/>
        <v>1.27759494419655</v>
      </c>
      <c r="M62" s="22">
        <v>1.13075</v>
      </c>
      <c r="N62" s="22">
        <v>3.588</v>
      </c>
      <c r="O62" s="22"/>
      <c r="P62" s="22"/>
    </row>
    <row r="63" spans="1:20">
      <c r="I63" s="21" t="s">
        <v>88</v>
      </c>
      <c r="J63" s="22">
        <v>1471.7</v>
      </c>
      <c r="K63" s="22">
        <f t="shared" si="20"/>
        <v>0.118671529717499</v>
      </c>
      <c r="L63" s="22">
        <f t="shared" si="21"/>
        <v>1.26624313005206</v>
      </c>
      <c r="M63" s="22">
        <v>1.126</v>
      </c>
      <c r="N63" s="22">
        <v>3.5475</v>
      </c>
      <c r="O63" s="22"/>
      <c r="P63" s="22"/>
    </row>
    <row r="64" spans="1:20">
      <c r="I64" s="21" t="s">
        <v>89</v>
      </c>
      <c r="J64" s="22">
        <v>1505.7</v>
      </c>
      <c r="K64" s="22">
        <f t="shared" si="20"/>
        <v>-0.06028093088493</v>
      </c>
      <c r="L64" s="22">
        <f t="shared" si="21"/>
        <v>1.19149528281482</v>
      </c>
      <c r="M64" s="22">
        <v>0.9415</v>
      </c>
      <c r="N64" s="22">
        <v>3.292</v>
      </c>
      <c r="O64" s="22"/>
      <c r="P64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topLeftCell="A87" workbookViewId="0">
      <selection activeCell="I14" sqref="I14"/>
    </sheetView>
  </sheetViews>
  <sheetFormatPr defaultColWidth="9" defaultRowHeight="14.4" outlineLevelCol="3"/>
  <cols>
    <col min="1" max="1" width="11.5555555555556" customWidth="1"/>
    <col min="2" max="2" width="34.4444444444444" customWidth="1"/>
    <col min="3" max="3" width="15.1111111111111" customWidth="1"/>
    <col min="4" max="4" width="23.1111111111111" customWidth="1"/>
  </cols>
  <sheetData>
    <row r="1" ht="22.2" spans="1:4">
      <c r="B1" s="3" t="s">
        <v>97</v>
      </c>
      <c r="C1" s="3" t="s">
        <v>98</v>
      </c>
      <c r="D1" s="3" t="s">
        <v>99</v>
      </c>
    </row>
    <row r="2" spans="1:4">
      <c r="A2">
        <v>1</v>
      </c>
      <c r="B2" s="4" t="s">
        <v>100</v>
      </c>
      <c r="C2" s="4">
        <v>13.375</v>
      </c>
      <c r="D2" s="4">
        <v>3.548</v>
      </c>
    </row>
    <row r="3" spans="1:4">
      <c r="A3">
        <v>1</v>
      </c>
      <c r="B3" s="4" t="s">
        <v>101</v>
      </c>
      <c r="C3" s="4">
        <v>14.231</v>
      </c>
      <c r="D3" s="4">
        <v>3.864</v>
      </c>
    </row>
    <row r="4" spans="1:4">
      <c r="A4">
        <v>1</v>
      </c>
      <c r="B4" s="4" t="s">
        <v>102</v>
      </c>
      <c r="C4" s="4">
        <v>13.532</v>
      </c>
      <c r="D4" s="4">
        <v>4.009</v>
      </c>
    </row>
    <row r="5" spans="1:4">
      <c r="A5">
        <v>1</v>
      </c>
      <c r="B5" s="4" t="s">
        <v>103</v>
      </c>
      <c r="C5" s="4">
        <v>14.284</v>
      </c>
      <c r="D5" s="4">
        <v>4.058</v>
      </c>
    </row>
    <row r="6" spans="1:4">
      <c r="A6" s="5" t="s">
        <v>104</v>
      </c>
      <c r="B6" s="4"/>
      <c r="C6" s="4">
        <f>SUBTOTAL(1,C3:C5)</f>
        <v>14.0156666666667</v>
      </c>
      <c r="D6" s="4">
        <f>SUBTOTAL(1,D3:D5)</f>
        <v>3.977</v>
      </c>
    </row>
    <row r="7" spans="1:4">
      <c r="A7">
        <v>2</v>
      </c>
      <c r="B7" t="s">
        <v>105</v>
      </c>
      <c r="C7">
        <v>9.833</v>
      </c>
      <c r="D7">
        <v>3.22</v>
      </c>
    </row>
    <row r="8" spans="1:4">
      <c r="A8">
        <v>2</v>
      </c>
      <c r="B8" t="s">
        <v>106</v>
      </c>
      <c r="C8">
        <v>10.29</v>
      </c>
      <c r="D8">
        <v>3.611</v>
      </c>
    </row>
    <row r="9" spans="1:4">
      <c r="A9">
        <v>2</v>
      </c>
      <c r="B9" t="s">
        <v>107</v>
      </c>
      <c r="C9">
        <v>11.022</v>
      </c>
      <c r="D9">
        <v>3.291</v>
      </c>
    </row>
    <row r="10" spans="1:4">
      <c r="A10">
        <v>2</v>
      </c>
      <c r="B10" t="s">
        <v>108</v>
      </c>
      <c r="C10">
        <v>11.441</v>
      </c>
      <c r="D10">
        <v>3.402</v>
      </c>
    </row>
    <row r="11" spans="1:4">
      <c r="A11" s="5" t="s">
        <v>109</v>
      </c>
      <c r="C11">
        <f>SUBTOTAL(1,C7:C10)</f>
        <v>10.6465</v>
      </c>
      <c r="D11">
        <f>SUBTOTAL(1,D7:D10)</f>
        <v>3.381</v>
      </c>
    </row>
    <row r="12" spans="1:4">
      <c r="A12">
        <v>3</v>
      </c>
      <c r="B12" s="4" t="s">
        <v>110</v>
      </c>
      <c r="C12" s="4">
        <v>8.912</v>
      </c>
      <c r="D12" s="4">
        <v>2.657</v>
      </c>
    </row>
    <row r="13" spans="1:4">
      <c r="A13">
        <v>3</v>
      </c>
      <c r="B13" s="4" t="s">
        <v>111</v>
      </c>
      <c r="C13" s="4">
        <v>9.216</v>
      </c>
      <c r="D13" s="4">
        <v>3.209</v>
      </c>
    </row>
    <row r="14" spans="1:4">
      <c r="A14">
        <v>3</v>
      </c>
      <c r="B14" s="4" t="s">
        <v>112</v>
      </c>
      <c r="C14" s="4">
        <v>9.487</v>
      </c>
      <c r="D14" s="4">
        <v>2.87</v>
      </c>
    </row>
    <row r="15" spans="1:4">
      <c r="A15">
        <v>3</v>
      </c>
      <c r="B15" s="4" t="s">
        <v>113</v>
      </c>
      <c r="C15" s="4">
        <v>9.511</v>
      </c>
      <c r="D15" s="4">
        <v>2.979</v>
      </c>
    </row>
    <row r="16" spans="1:4">
      <c r="A16" s="5" t="s">
        <v>114</v>
      </c>
      <c r="B16" s="4"/>
      <c r="C16" s="4">
        <f>SUBTOTAL(1,C12:C15)</f>
        <v>9.2815</v>
      </c>
      <c r="D16" s="4">
        <f>SUBTOTAL(1,D12:D15)</f>
        <v>2.92875</v>
      </c>
    </row>
    <row r="17" spans="1:4">
      <c r="A17">
        <v>4</v>
      </c>
      <c r="B17" t="s">
        <v>115</v>
      </c>
      <c r="C17">
        <v>7.761</v>
      </c>
      <c r="D17">
        <v>2.37</v>
      </c>
    </row>
    <row r="18" spans="1:4">
      <c r="A18">
        <v>4</v>
      </c>
      <c r="B18" t="s">
        <v>116</v>
      </c>
      <c r="C18">
        <v>7.994</v>
      </c>
      <c r="D18">
        <v>2.289</v>
      </c>
    </row>
    <row r="19" spans="1:4">
      <c r="A19">
        <v>4</v>
      </c>
      <c r="B19" t="s">
        <v>117</v>
      </c>
      <c r="C19">
        <v>7.842</v>
      </c>
      <c r="D19">
        <v>2.595</v>
      </c>
    </row>
    <row r="20" spans="1:4">
      <c r="A20">
        <v>4</v>
      </c>
      <c r="B20" t="s">
        <v>118</v>
      </c>
      <c r="C20">
        <v>7.964</v>
      </c>
      <c r="D20">
        <v>2.513</v>
      </c>
    </row>
    <row r="21" spans="1:4">
      <c r="A21" s="5" t="s">
        <v>119</v>
      </c>
      <c r="C21">
        <f>SUBTOTAL(1,C17:C20)</f>
        <v>7.89025</v>
      </c>
      <c r="D21">
        <f>SUBTOTAL(1,D17:D20)</f>
        <v>2.44175</v>
      </c>
    </row>
    <row r="22" spans="1:4">
      <c r="A22">
        <v>5</v>
      </c>
      <c r="B22" s="4" t="s">
        <v>120</v>
      </c>
      <c r="C22" s="4">
        <v>6.006</v>
      </c>
      <c r="D22" s="4">
        <v>1.871</v>
      </c>
    </row>
    <row r="23" spans="1:4">
      <c r="A23">
        <v>5</v>
      </c>
      <c r="B23" s="4" t="s">
        <v>121</v>
      </c>
      <c r="C23" s="4">
        <v>6.827</v>
      </c>
      <c r="D23" s="4">
        <v>2.197</v>
      </c>
    </row>
    <row r="24" spans="1:4">
      <c r="A24">
        <v>5</v>
      </c>
      <c r="B24" s="4" t="s">
        <v>122</v>
      </c>
      <c r="C24" s="4">
        <v>7.033</v>
      </c>
      <c r="D24" s="4">
        <v>2.25</v>
      </c>
    </row>
    <row r="25" spans="1:4">
      <c r="A25">
        <v>5</v>
      </c>
      <c r="B25" s="4" t="s">
        <v>123</v>
      </c>
      <c r="C25" s="4">
        <v>6.928</v>
      </c>
      <c r="D25" s="4">
        <v>1.979</v>
      </c>
    </row>
    <row r="26" spans="1:4">
      <c r="A26" s="5" t="s">
        <v>124</v>
      </c>
      <c r="B26" s="4"/>
      <c r="C26" s="4">
        <f>SUBTOTAL(1,C22:C25)</f>
        <v>6.6985</v>
      </c>
      <c r="D26" s="4">
        <f>SUBTOTAL(1,D22:D25)</f>
        <v>2.07425</v>
      </c>
    </row>
    <row r="27" spans="1:4">
      <c r="A27">
        <v>6</v>
      </c>
      <c r="B27" t="s">
        <v>125</v>
      </c>
      <c r="C27">
        <v>5.353</v>
      </c>
      <c r="D27">
        <v>1.6</v>
      </c>
    </row>
    <row r="28" spans="1:4">
      <c r="A28">
        <v>6</v>
      </c>
      <c r="B28" t="s">
        <v>126</v>
      </c>
      <c r="C28">
        <v>6.285</v>
      </c>
      <c r="D28">
        <v>1.766</v>
      </c>
    </row>
    <row r="29" spans="1:4">
      <c r="A29">
        <v>6</v>
      </c>
      <c r="B29" t="s">
        <v>127</v>
      </c>
      <c r="C29">
        <v>6.283</v>
      </c>
      <c r="D29">
        <v>1.808</v>
      </c>
    </row>
    <row r="30" spans="1:4">
      <c r="A30">
        <v>6</v>
      </c>
      <c r="B30" t="s">
        <v>128</v>
      </c>
      <c r="C30">
        <v>6.178</v>
      </c>
      <c r="D30">
        <v>2.206</v>
      </c>
    </row>
    <row r="31" spans="1:4">
      <c r="A31" s="5" t="s">
        <v>129</v>
      </c>
      <c r="C31">
        <f>SUBTOTAL(1,C27:C30)</f>
        <v>6.02475</v>
      </c>
      <c r="D31">
        <f>SUBTOTAL(1,D27:D30)</f>
        <v>1.845</v>
      </c>
    </row>
    <row r="32" spans="1:4">
      <c r="A32">
        <v>7</v>
      </c>
      <c r="B32" s="4" t="s">
        <v>130</v>
      </c>
      <c r="C32" s="4">
        <v>4.633</v>
      </c>
      <c r="D32" s="4">
        <v>1.447</v>
      </c>
    </row>
    <row r="33" spans="1:4">
      <c r="A33">
        <v>7</v>
      </c>
      <c r="B33" s="4" t="s">
        <v>131</v>
      </c>
      <c r="C33" s="4">
        <v>5.069</v>
      </c>
      <c r="D33" s="4">
        <v>1.522</v>
      </c>
    </row>
    <row r="34" spans="1:4">
      <c r="A34">
        <v>7</v>
      </c>
      <c r="B34" s="4" t="s">
        <v>132</v>
      </c>
      <c r="C34" s="4">
        <v>5.16</v>
      </c>
      <c r="D34" s="4">
        <v>1.527</v>
      </c>
    </row>
    <row r="35" spans="1:4">
      <c r="A35">
        <v>7</v>
      </c>
      <c r="B35" s="4" t="s">
        <v>133</v>
      </c>
      <c r="C35" s="4">
        <v>5.384</v>
      </c>
      <c r="D35" s="4">
        <v>1.677</v>
      </c>
    </row>
    <row r="36" spans="1:4">
      <c r="A36" s="5" t="s">
        <v>134</v>
      </c>
      <c r="B36" s="4"/>
      <c r="C36" s="4">
        <f>SUBTOTAL(1,C32:C35)</f>
        <v>5.0615</v>
      </c>
      <c r="D36" s="4">
        <f>SUBTOTAL(1,D32:D35)</f>
        <v>1.54325</v>
      </c>
    </row>
    <row r="37" spans="1:4">
      <c r="A37">
        <v>8</v>
      </c>
      <c r="B37" t="s">
        <v>135</v>
      </c>
      <c r="C37">
        <v>3.981</v>
      </c>
      <c r="D37">
        <v>1.175</v>
      </c>
    </row>
    <row r="38" spans="1:4">
      <c r="A38">
        <v>8</v>
      </c>
      <c r="B38" t="s">
        <v>136</v>
      </c>
      <c r="C38">
        <v>4.502</v>
      </c>
      <c r="D38">
        <v>1.338</v>
      </c>
    </row>
    <row r="39" spans="1:4">
      <c r="A39">
        <v>8</v>
      </c>
      <c r="B39" t="s">
        <v>137</v>
      </c>
      <c r="C39">
        <v>4.377</v>
      </c>
      <c r="D39">
        <v>1.502</v>
      </c>
    </row>
    <row r="40" spans="1:4">
      <c r="A40">
        <v>8</v>
      </c>
      <c r="B40" t="s">
        <v>138</v>
      </c>
      <c r="C40">
        <v>4.39</v>
      </c>
      <c r="D40">
        <v>1.384</v>
      </c>
    </row>
    <row r="41" spans="1:4">
      <c r="A41" s="5" t="s">
        <v>139</v>
      </c>
      <c r="C41">
        <f>SUBTOTAL(1,C37:C40)</f>
        <v>4.3125</v>
      </c>
      <c r="D41">
        <f>SUBTOTAL(1,D37:D40)</f>
        <v>1.34975</v>
      </c>
    </row>
    <row r="42" spans="1:4">
      <c r="A42">
        <v>9</v>
      </c>
      <c r="B42" s="4" t="s">
        <v>140</v>
      </c>
      <c r="C42" s="4">
        <v>3.502</v>
      </c>
      <c r="D42" s="4">
        <v>1.133</v>
      </c>
    </row>
    <row r="43" spans="1:4">
      <c r="A43">
        <v>9</v>
      </c>
      <c r="B43" s="4" t="s">
        <v>141</v>
      </c>
      <c r="C43" s="4">
        <v>3.722</v>
      </c>
      <c r="D43" s="4">
        <v>1.077</v>
      </c>
    </row>
    <row r="44" spans="1:4">
      <c r="A44">
        <v>9</v>
      </c>
      <c r="B44" s="4" t="s">
        <v>142</v>
      </c>
      <c r="C44" s="4">
        <v>3.917</v>
      </c>
      <c r="D44" s="4">
        <v>1.191</v>
      </c>
    </row>
    <row r="45" spans="1:4">
      <c r="A45">
        <v>9</v>
      </c>
      <c r="B45" s="4" t="s">
        <v>143</v>
      </c>
      <c r="C45" s="4">
        <v>3.881</v>
      </c>
      <c r="D45" s="4">
        <v>1.015</v>
      </c>
    </row>
    <row r="46" spans="1:4">
      <c r="A46" s="5" t="s">
        <v>144</v>
      </c>
      <c r="B46" s="4"/>
      <c r="C46" s="4">
        <f>SUBTOTAL(1,C42:C45)</f>
        <v>3.7555</v>
      </c>
      <c r="D46" s="4">
        <f>SUBTOTAL(1,D42:D45)</f>
        <v>1.104</v>
      </c>
    </row>
    <row r="47" spans="1:4">
      <c r="A47">
        <v>10</v>
      </c>
      <c r="B47" t="s">
        <v>145</v>
      </c>
      <c r="C47">
        <v>2.944</v>
      </c>
      <c r="D47">
        <v>0.94</v>
      </c>
    </row>
    <row r="48" spans="1:4">
      <c r="A48">
        <v>10</v>
      </c>
      <c r="B48" t="s">
        <v>146</v>
      </c>
      <c r="C48">
        <v>3.247</v>
      </c>
      <c r="D48">
        <v>0.924</v>
      </c>
    </row>
    <row r="49" spans="1:4">
      <c r="A49">
        <v>10</v>
      </c>
      <c r="B49" t="s">
        <v>147</v>
      </c>
      <c r="C49">
        <v>3.105</v>
      </c>
      <c r="D49">
        <v>0.976</v>
      </c>
    </row>
    <row r="50" spans="1:4">
      <c r="A50">
        <v>10</v>
      </c>
      <c r="B50" t="s">
        <v>148</v>
      </c>
      <c r="C50">
        <v>3.304</v>
      </c>
      <c r="D50">
        <v>0.986</v>
      </c>
    </row>
    <row r="51" spans="1:4">
      <c r="A51" s="5" t="s">
        <v>149</v>
      </c>
      <c r="C51">
        <f>SUBTOTAL(1,C47:C50)</f>
        <v>3.15</v>
      </c>
      <c r="D51">
        <f>SUBTOTAL(1,D47:D50)</f>
        <v>0.9565</v>
      </c>
    </row>
    <row r="52" spans="1:4">
      <c r="A52">
        <v>11</v>
      </c>
      <c r="B52" s="4" t="s">
        <v>150</v>
      </c>
      <c r="C52" s="4">
        <v>2.542</v>
      </c>
      <c r="D52" s="4">
        <v>0.791</v>
      </c>
    </row>
    <row r="53" spans="1:4">
      <c r="A53">
        <v>11</v>
      </c>
      <c r="B53" s="4" t="s">
        <v>151</v>
      </c>
      <c r="C53" s="4">
        <v>2.691</v>
      </c>
      <c r="D53" s="4">
        <v>0.91</v>
      </c>
    </row>
    <row r="54" spans="1:4">
      <c r="A54">
        <v>11</v>
      </c>
      <c r="B54" s="4" t="s">
        <v>152</v>
      </c>
      <c r="C54" s="4">
        <v>2.689</v>
      </c>
      <c r="D54" s="4">
        <v>0.781</v>
      </c>
    </row>
    <row r="55" spans="1:4">
      <c r="A55">
        <v>11</v>
      </c>
      <c r="B55" s="4" t="s">
        <v>153</v>
      </c>
      <c r="C55" s="4">
        <v>2.711</v>
      </c>
      <c r="D55" s="4">
        <v>0.795</v>
      </c>
    </row>
    <row r="56" spans="1:4">
      <c r="A56" s="5" t="s">
        <v>154</v>
      </c>
      <c r="B56" s="4"/>
      <c r="C56" s="4">
        <f>SUBTOTAL(1,C52:C55)</f>
        <v>2.65825</v>
      </c>
      <c r="D56" s="4">
        <f>SUBTOTAL(1,D52:D55)</f>
        <v>0.81925</v>
      </c>
    </row>
    <row r="57" spans="1:4">
      <c r="A57">
        <v>12</v>
      </c>
      <c r="B57" t="s">
        <v>155</v>
      </c>
      <c r="C57">
        <v>18.964</v>
      </c>
      <c r="D57">
        <v>14.093</v>
      </c>
    </row>
    <row r="58" spans="1:4">
      <c r="A58">
        <v>12</v>
      </c>
      <c r="B58" t="s">
        <v>156</v>
      </c>
      <c r="C58">
        <v>20.461</v>
      </c>
      <c r="D58">
        <v>14.688</v>
      </c>
    </row>
    <row r="59" spans="1:4">
      <c r="A59">
        <v>12</v>
      </c>
      <c r="B59" t="s">
        <v>157</v>
      </c>
      <c r="C59">
        <v>21.649</v>
      </c>
      <c r="D59">
        <v>14.949</v>
      </c>
    </row>
    <row r="60" spans="1:4">
      <c r="A60">
        <v>12</v>
      </c>
      <c r="B60" t="s">
        <v>158</v>
      </c>
      <c r="C60">
        <v>21.204</v>
      </c>
      <c r="D60">
        <v>15.085</v>
      </c>
    </row>
    <row r="61" spans="1:4">
      <c r="A61" s="5" t="s">
        <v>159</v>
      </c>
      <c r="C61">
        <f>SUBTOTAL(1,C57:C60)</f>
        <v>20.5695</v>
      </c>
      <c r="D61">
        <f>SUBTOTAL(1,D57:D60)</f>
        <v>14.70375</v>
      </c>
    </row>
    <row r="62" spans="1:4">
      <c r="A62">
        <v>13</v>
      </c>
      <c r="B62" s="4" t="s">
        <v>160</v>
      </c>
      <c r="C62" s="4">
        <v>17.355</v>
      </c>
      <c r="D62" s="4">
        <v>11.443</v>
      </c>
    </row>
    <row r="63" spans="1:4">
      <c r="A63">
        <v>13</v>
      </c>
      <c r="B63" s="4" t="s">
        <v>161</v>
      </c>
      <c r="C63" s="4">
        <v>18.402</v>
      </c>
      <c r="D63" s="4">
        <v>12.452</v>
      </c>
    </row>
    <row r="64" spans="1:4">
      <c r="A64">
        <v>13</v>
      </c>
      <c r="B64" s="4" t="s">
        <v>162</v>
      </c>
      <c r="C64" s="4">
        <v>17.973</v>
      </c>
      <c r="D64" s="4">
        <v>13.095</v>
      </c>
    </row>
    <row r="65" spans="1:4">
      <c r="A65">
        <v>13</v>
      </c>
      <c r="B65" s="4" t="s">
        <v>163</v>
      </c>
      <c r="C65" s="4">
        <v>19.072</v>
      </c>
      <c r="D65" s="4">
        <v>12.874</v>
      </c>
    </row>
    <row r="66" spans="1:4">
      <c r="A66" s="5" t="s">
        <v>164</v>
      </c>
      <c r="B66" s="4"/>
      <c r="C66" s="4">
        <f>SUBTOTAL(1,C62:C65)</f>
        <v>18.2005</v>
      </c>
      <c r="D66" s="4">
        <f>SUBTOTAL(1,D62:D65)</f>
        <v>12.466</v>
      </c>
    </row>
    <row r="67" spans="1:4">
      <c r="A67">
        <v>14</v>
      </c>
      <c r="B67" t="s">
        <v>165</v>
      </c>
      <c r="C67">
        <v>2.149</v>
      </c>
      <c r="D67">
        <v>0.658</v>
      </c>
    </row>
    <row r="68" spans="1:4">
      <c r="A68">
        <v>14</v>
      </c>
      <c r="B68" t="s">
        <v>166</v>
      </c>
      <c r="C68">
        <v>2.286</v>
      </c>
      <c r="D68">
        <v>0.782</v>
      </c>
    </row>
    <row r="69" spans="1:4">
      <c r="A69">
        <v>14</v>
      </c>
      <c r="B69" t="s">
        <v>167</v>
      </c>
      <c r="C69">
        <v>2.424</v>
      </c>
      <c r="D69">
        <v>0.756</v>
      </c>
    </row>
    <row r="70" spans="1:4">
      <c r="A70">
        <v>14</v>
      </c>
      <c r="B70" t="s">
        <v>168</v>
      </c>
      <c r="C70">
        <v>2.384</v>
      </c>
      <c r="D70">
        <v>0.753</v>
      </c>
    </row>
    <row r="71" spans="1:4">
      <c r="A71" s="5" t="s">
        <v>169</v>
      </c>
      <c r="C71">
        <f>SUBTOTAL(1,C67:C70)</f>
        <v>2.31075</v>
      </c>
      <c r="D71">
        <f>SUBTOTAL(1,D67:D70)</f>
        <v>0.73725</v>
      </c>
    </row>
    <row r="72" spans="1:4">
      <c r="A72">
        <v>15</v>
      </c>
      <c r="B72" s="4" t="s">
        <v>170</v>
      </c>
      <c r="C72" s="4">
        <v>14.182</v>
      </c>
      <c r="D72" s="4">
        <v>9.493</v>
      </c>
    </row>
    <row r="73" spans="1:4">
      <c r="A73">
        <v>15</v>
      </c>
      <c r="B73" s="4" t="s">
        <v>171</v>
      </c>
      <c r="C73" s="4">
        <v>14.972</v>
      </c>
      <c r="D73" s="4">
        <v>10.063</v>
      </c>
    </row>
    <row r="74" spans="1:4">
      <c r="A74">
        <v>15</v>
      </c>
      <c r="B74" s="4" t="s">
        <v>172</v>
      </c>
      <c r="C74" s="4">
        <v>16.091</v>
      </c>
      <c r="D74" s="4">
        <v>10.33</v>
      </c>
    </row>
    <row r="75" spans="1:4">
      <c r="A75">
        <v>15</v>
      </c>
      <c r="B75" s="4" t="s">
        <v>173</v>
      </c>
      <c r="C75" s="4">
        <v>16.195</v>
      </c>
      <c r="D75" s="4">
        <v>11.239</v>
      </c>
    </row>
    <row r="76" spans="1:4">
      <c r="A76" s="5" t="s">
        <v>174</v>
      </c>
      <c r="B76" s="4"/>
      <c r="C76" s="4">
        <f>SUBTOTAL(1,C72:C75)</f>
        <v>15.36</v>
      </c>
      <c r="D76" s="4">
        <f>SUBTOTAL(1,D72:D75)</f>
        <v>10.28125</v>
      </c>
    </row>
    <row r="77" spans="1:4">
      <c r="A77">
        <v>16</v>
      </c>
      <c r="B77" t="s">
        <v>175</v>
      </c>
      <c r="C77">
        <v>1.864</v>
      </c>
      <c r="D77">
        <v>0.567</v>
      </c>
    </row>
    <row r="78" spans="1:4">
      <c r="A78">
        <v>16</v>
      </c>
      <c r="B78" t="s">
        <v>176</v>
      </c>
      <c r="C78">
        <v>2.1</v>
      </c>
      <c r="D78">
        <v>0.648</v>
      </c>
    </row>
    <row r="79" spans="1:4">
      <c r="A79">
        <v>16</v>
      </c>
      <c r="B79" t="s">
        <v>177</v>
      </c>
      <c r="C79">
        <v>1.93</v>
      </c>
      <c r="D79">
        <v>0.634</v>
      </c>
    </row>
    <row r="80" spans="1:4">
      <c r="A80">
        <v>16</v>
      </c>
      <c r="B80" t="s">
        <v>178</v>
      </c>
      <c r="C80">
        <v>1.99</v>
      </c>
      <c r="D80">
        <v>0.643</v>
      </c>
    </row>
    <row r="81" spans="1:4">
      <c r="A81" s="5" t="s">
        <v>179</v>
      </c>
      <c r="C81">
        <f>SUBTOTAL(1,C77:C80)</f>
        <v>1.971</v>
      </c>
      <c r="D81">
        <f>SUBTOTAL(1,D77:D80)</f>
        <v>0.623</v>
      </c>
    </row>
    <row r="82" spans="1:4">
      <c r="A82">
        <v>17</v>
      </c>
      <c r="B82" s="4" t="s">
        <v>180</v>
      </c>
      <c r="C82" s="4">
        <v>11.824</v>
      </c>
      <c r="D82" s="4">
        <v>8.729</v>
      </c>
    </row>
    <row r="83" spans="1:4">
      <c r="A83">
        <v>17</v>
      </c>
      <c r="B83" s="4" t="s">
        <v>181</v>
      </c>
      <c r="C83" s="4">
        <v>13.746</v>
      </c>
      <c r="D83" s="4">
        <v>9.517</v>
      </c>
    </row>
    <row r="84" spans="1:4">
      <c r="A84">
        <v>17</v>
      </c>
      <c r="B84" s="4" t="s">
        <v>182</v>
      </c>
      <c r="C84" s="4">
        <v>13.214</v>
      </c>
      <c r="D84" s="4">
        <v>9.479</v>
      </c>
    </row>
    <row r="85" spans="1:4">
      <c r="A85">
        <v>17</v>
      </c>
      <c r="B85" s="4" t="s">
        <v>183</v>
      </c>
      <c r="C85" s="4">
        <v>13.197</v>
      </c>
      <c r="D85" s="4">
        <v>9.559</v>
      </c>
    </row>
    <row r="86" spans="1:4">
      <c r="A86" s="5" t="s">
        <v>184</v>
      </c>
      <c r="B86" s="4"/>
      <c r="C86" s="4">
        <f>SUBTOTAL(1,C82:C85)</f>
        <v>12.99525</v>
      </c>
      <c r="D86" s="4">
        <f>SUBTOTAL(1,D82:D85)</f>
        <v>9.321</v>
      </c>
    </row>
    <row r="87" spans="1:4">
      <c r="A87">
        <v>18</v>
      </c>
      <c r="B87" t="s">
        <v>185</v>
      </c>
      <c r="C87">
        <v>10.311</v>
      </c>
      <c r="D87">
        <v>7.168</v>
      </c>
    </row>
    <row r="88" spans="1:4">
      <c r="A88">
        <v>18</v>
      </c>
      <c r="B88" t="s">
        <v>186</v>
      </c>
      <c r="C88">
        <v>11.975</v>
      </c>
      <c r="D88">
        <v>7.959</v>
      </c>
    </row>
    <row r="89" spans="1:4">
      <c r="A89">
        <v>18</v>
      </c>
      <c r="B89" t="s">
        <v>187</v>
      </c>
      <c r="C89">
        <v>11.352</v>
      </c>
      <c r="D89">
        <v>7.941</v>
      </c>
    </row>
    <row r="90" spans="1:4">
      <c r="A90" s="5" t="s">
        <v>188</v>
      </c>
      <c r="C90">
        <f>SUBTOTAL(1,C87:C89)</f>
        <v>11.2126666666667</v>
      </c>
      <c r="D90">
        <f>SUBTOTAL(1,D87:D89)</f>
        <v>7.68933333333333</v>
      </c>
    </row>
    <row r="91" spans="1:4">
      <c r="A91">
        <v>19</v>
      </c>
      <c r="B91" s="4" t="s">
        <v>189</v>
      </c>
      <c r="C91" s="4">
        <v>9.008</v>
      </c>
      <c r="D91" s="4">
        <v>6.252</v>
      </c>
    </row>
    <row r="92" spans="1:4">
      <c r="A92">
        <v>19</v>
      </c>
      <c r="B92" s="4" t="s">
        <v>190</v>
      </c>
      <c r="C92" s="4">
        <v>9.687</v>
      </c>
      <c r="D92" s="4">
        <v>7.162</v>
      </c>
    </row>
    <row r="93" spans="1:4">
      <c r="A93">
        <v>19</v>
      </c>
      <c r="B93" s="4" t="s">
        <v>191</v>
      </c>
      <c r="C93" s="4">
        <v>9.677</v>
      </c>
      <c r="D93" s="4">
        <v>6.84</v>
      </c>
    </row>
    <row r="94" spans="1:4">
      <c r="A94">
        <v>19</v>
      </c>
      <c r="B94" s="4" t="s">
        <v>192</v>
      </c>
      <c r="C94" s="4">
        <v>9.657</v>
      </c>
      <c r="D94" s="4">
        <v>6.842</v>
      </c>
    </row>
    <row r="95" spans="1:4">
      <c r="A95" s="5" t="s">
        <v>193</v>
      </c>
      <c r="B95" s="4"/>
      <c r="C95" s="4">
        <f>SUBTOTAL(1,C91:C94)</f>
        <v>9.50725</v>
      </c>
      <c r="D95" s="4">
        <f>SUBTOTAL(1,D91:D94)</f>
        <v>6.774</v>
      </c>
    </row>
    <row r="96" spans="1:4">
      <c r="A96">
        <v>20</v>
      </c>
      <c r="B96" t="s">
        <v>194</v>
      </c>
      <c r="C96">
        <v>7.659</v>
      </c>
      <c r="D96">
        <v>5.411</v>
      </c>
    </row>
    <row r="97" spans="1:4">
      <c r="A97">
        <v>20</v>
      </c>
      <c r="B97" t="s">
        <v>195</v>
      </c>
      <c r="C97">
        <v>8.305</v>
      </c>
      <c r="D97">
        <v>5.82</v>
      </c>
    </row>
    <row r="98" spans="1:4">
      <c r="A98">
        <v>20</v>
      </c>
      <c r="B98" t="s">
        <v>196</v>
      </c>
      <c r="C98">
        <v>8.288</v>
      </c>
      <c r="D98">
        <v>5.867</v>
      </c>
    </row>
    <row r="99" spans="1:4">
      <c r="A99">
        <v>20</v>
      </c>
      <c r="B99" t="s">
        <v>197</v>
      </c>
      <c r="C99">
        <v>8.647</v>
      </c>
      <c r="D99">
        <v>5.887</v>
      </c>
    </row>
    <row r="100" spans="1:4">
      <c r="A100" s="5" t="s">
        <v>198</v>
      </c>
      <c r="C100">
        <f>SUBTOTAL(1,C96:C99)</f>
        <v>8.22475</v>
      </c>
      <c r="D100">
        <f>SUBTOTAL(1,D96:D99)</f>
        <v>5.74625</v>
      </c>
    </row>
    <row r="101" spans="1:4">
      <c r="A101">
        <v>21</v>
      </c>
      <c r="B101" s="4" t="s">
        <v>199</v>
      </c>
      <c r="C101" s="4">
        <v>1.066</v>
      </c>
      <c r="D101" s="4">
        <v>0.313</v>
      </c>
    </row>
    <row r="102" spans="1:4">
      <c r="A102">
        <v>21</v>
      </c>
      <c r="B102" s="4" t="s">
        <v>200</v>
      </c>
      <c r="C102" s="4">
        <v>1.107</v>
      </c>
      <c r="D102" s="4">
        <v>0.373</v>
      </c>
    </row>
    <row r="103" spans="1:4">
      <c r="A103" s="5" t="s">
        <v>201</v>
      </c>
      <c r="B103" s="4"/>
      <c r="C103" s="4">
        <f>SUBTOTAL(1,C101:C102)</f>
        <v>1.0865</v>
      </c>
      <c r="D103" s="4">
        <f>SUBTOTAL(1,D101:D102)</f>
        <v>0.343</v>
      </c>
    </row>
    <row r="104" spans="1:4">
      <c r="A104">
        <v>22</v>
      </c>
      <c r="B104" t="s">
        <v>202</v>
      </c>
      <c r="C104">
        <v>6.586</v>
      </c>
      <c r="D104">
        <v>4.636</v>
      </c>
    </row>
    <row r="105" spans="1:4">
      <c r="A105">
        <v>22</v>
      </c>
      <c r="B105" t="s">
        <v>203</v>
      </c>
      <c r="C105">
        <v>7.312</v>
      </c>
      <c r="D105">
        <v>4.874</v>
      </c>
    </row>
    <row r="106" spans="1:4">
      <c r="A106">
        <v>22</v>
      </c>
      <c r="B106" t="s">
        <v>204</v>
      </c>
      <c r="C106">
        <v>7.377</v>
      </c>
      <c r="D106">
        <v>4.744</v>
      </c>
    </row>
    <row r="107" spans="1:4">
      <c r="A107">
        <v>22</v>
      </c>
      <c r="B107" t="s">
        <v>205</v>
      </c>
      <c r="C107">
        <v>7.472</v>
      </c>
      <c r="D107">
        <v>5.108</v>
      </c>
    </row>
    <row r="108" spans="1:4">
      <c r="A108" s="5" t="s">
        <v>206</v>
      </c>
      <c r="C108">
        <f>SUBTOTAL(1,C104:C107)</f>
        <v>7.18675</v>
      </c>
      <c r="D108">
        <f>SUBTOTAL(1,D104:D107)</f>
        <v>4.8405</v>
      </c>
    </row>
    <row r="109" spans="1:4">
      <c r="A109">
        <v>23</v>
      </c>
      <c r="B109" s="4" t="s">
        <v>207</v>
      </c>
      <c r="C109" s="4">
        <v>0.928</v>
      </c>
      <c r="D109" s="4">
        <v>0.308</v>
      </c>
    </row>
    <row r="110" spans="1:4">
      <c r="A110">
        <v>23</v>
      </c>
      <c r="B110" s="4" t="s">
        <v>208</v>
      </c>
      <c r="C110" s="4">
        <v>0.977</v>
      </c>
      <c r="D110" s="4">
        <v>0.295</v>
      </c>
    </row>
    <row r="111" spans="1:4">
      <c r="A111" s="5" t="s">
        <v>209</v>
      </c>
      <c r="B111" s="4"/>
      <c r="C111" s="4">
        <f>SUBTOTAL(1,C109:C110)</f>
        <v>0.9525</v>
      </c>
      <c r="D111" s="4">
        <f>SUBTOTAL(1,D109:D110)</f>
        <v>0.3015</v>
      </c>
    </row>
    <row r="112" spans="1:4">
      <c r="A112">
        <v>24</v>
      </c>
      <c r="B112" t="s">
        <v>210</v>
      </c>
      <c r="C112">
        <v>5.614</v>
      </c>
      <c r="D112">
        <v>4.219</v>
      </c>
    </row>
    <row r="113" spans="1:4">
      <c r="A113">
        <v>24</v>
      </c>
      <c r="B113" t="s">
        <v>211</v>
      </c>
      <c r="C113">
        <v>5.973</v>
      </c>
      <c r="D113">
        <v>4.155</v>
      </c>
    </row>
    <row r="114" spans="1:4">
      <c r="A114">
        <v>24</v>
      </c>
      <c r="B114" t="s">
        <v>212</v>
      </c>
      <c r="C114">
        <v>6.421</v>
      </c>
      <c r="D114">
        <v>4.468</v>
      </c>
    </row>
    <row r="115" spans="1:4">
      <c r="A115">
        <v>24</v>
      </c>
      <c r="B115" t="s">
        <v>213</v>
      </c>
      <c r="C115">
        <v>6.34</v>
      </c>
      <c r="D115">
        <v>4.036</v>
      </c>
    </row>
    <row r="116" spans="1:4">
      <c r="A116" s="5" t="s">
        <v>214</v>
      </c>
      <c r="C116">
        <f>SUBTOTAL(1,C112:C115)</f>
        <v>6.087</v>
      </c>
      <c r="D116">
        <f>SUBTOTAL(1,D112:D115)</f>
        <v>4.2195</v>
      </c>
    </row>
    <row r="117" spans="1:4">
      <c r="A117">
        <v>25</v>
      </c>
      <c r="B117" s="4" t="s">
        <v>215</v>
      </c>
      <c r="C117" s="4">
        <v>0.743</v>
      </c>
      <c r="D117" s="4">
        <v>0.247</v>
      </c>
    </row>
    <row r="118" spans="1:4">
      <c r="A118">
        <v>25</v>
      </c>
      <c r="B118" s="4" t="s">
        <v>216</v>
      </c>
      <c r="C118" s="4">
        <v>0.757</v>
      </c>
      <c r="D118" s="4">
        <v>0.262</v>
      </c>
    </row>
    <row r="119" spans="1:4">
      <c r="A119" s="5" t="s">
        <v>217</v>
      </c>
      <c r="B119" s="4"/>
      <c r="C119" s="4">
        <f>SUBTOTAL(1,C117:C118)</f>
        <v>0.75</v>
      </c>
      <c r="D119" s="4">
        <f>SUBTOTAL(1,D117:D118)</f>
        <v>0.2545</v>
      </c>
    </row>
    <row r="120" spans="1:4">
      <c r="A120">
        <v>26</v>
      </c>
      <c r="B120" t="s">
        <v>218</v>
      </c>
      <c r="C120">
        <v>4.736</v>
      </c>
      <c r="D120">
        <v>3.336</v>
      </c>
    </row>
    <row r="121" spans="1:4">
      <c r="A121">
        <v>26</v>
      </c>
      <c r="B121" t="s">
        <v>219</v>
      </c>
      <c r="C121">
        <v>5.21</v>
      </c>
      <c r="D121">
        <v>3.567</v>
      </c>
    </row>
    <row r="122" spans="1:4">
      <c r="A122">
        <v>26</v>
      </c>
      <c r="B122" t="s">
        <v>220</v>
      </c>
      <c r="C122">
        <v>5.276</v>
      </c>
      <c r="D122">
        <v>3.684</v>
      </c>
    </row>
    <row r="123" spans="1:4">
      <c r="A123">
        <v>26</v>
      </c>
      <c r="B123" t="s">
        <v>221</v>
      </c>
      <c r="C123">
        <v>5.083</v>
      </c>
      <c r="D123">
        <v>3.606</v>
      </c>
    </row>
    <row r="124" spans="1:4">
      <c r="A124" s="5" t="s">
        <v>222</v>
      </c>
      <c r="C124">
        <f>SUBTOTAL(1,C120:C123)</f>
        <v>5.07625</v>
      </c>
      <c r="D124">
        <f>SUBTOTAL(1,D120:D123)</f>
        <v>3.54825</v>
      </c>
    </row>
    <row r="125" spans="1:4">
      <c r="A125">
        <v>27</v>
      </c>
      <c r="B125" s="4" t="s">
        <v>223</v>
      </c>
      <c r="C125" s="4">
        <v>3.992</v>
      </c>
      <c r="D125" s="4">
        <v>2.797</v>
      </c>
    </row>
    <row r="126" spans="1:4">
      <c r="A126">
        <v>27</v>
      </c>
      <c r="B126" s="4" t="s">
        <v>224</v>
      </c>
      <c r="C126" s="4">
        <v>4.501</v>
      </c>
      <c r="D126" s="4">
        <v>3.196</v>
      </c>
    </row>
    <row r="127" spans="1:4">
      <c r="A127">
        <v>27</v>
      </c>
      <c r="B127" s="4" t="s">
        <v>225</v>
      </c>
      <c r="C127" s="4">
        <v>4.49</v>
      </c>
      <c r="D127" s="4">
        <v>3.07</v>
      </c>
    </row>
    <row r="128" spans="1:4">
      <c r="A128">
        <v>27</v>
      </c>
      <c r="B128" s="4" t="s">
        <v>226</v>
      </c>
      <c r="C128" s="4">
        <v>4.556</v>
      </c>
      <c r="D128" s="4">
        <v>3.22</v>
      </c>
    </row>
    <row r="129" spans="1:4">
      <c r="A129" s="5" t="s">
        <v>227</v>
      </c>
      <c r="B129" s="4"/>
      <c r="C129" s="4">
        <f>SUBTOTAL(1,C125:C128)</f>
        <v>4.38475</v>
      </c>
      <c r="D129" s="4">
        <f>SUBTOTAL(1,D125:D128)</f>
        <v>3.07075</v>
      </c>
    </row>
    <row r="130" spans="1:4">
      <c r="A130">
        <v>28</v>
      </c>
      <c r="B130" t="s">
        <v>228</v>
      </c>
      <c r="C130">
        <v>3.475</v>
      </c>
      <c r="D130">
        <v>2.561</v>
      </c>
    </row>
    <row r="131" spans="1:4">
      <c r="A131">
        <v>28</v>
      </c>
      <c r="B131" t="s">
        <v>229</v>
      </c>
      <c r="C131">
        <v>3.778</v>
      </c>
      <c r="D131">
        <v>2.614</v>
      </c>
    </row>
    <row r="132" spans="1:4">
      <c r="A132">
        <v>28</v>
      </c>
      <c r="B132" t="s">
        <v>230</v>
      </c>
      <c r="C132">
        <v>3.665</v>
      </c>
      <c r="D132">
        <v>2.717</v>
      </c>
    </row>
    <row r="133" spans="1:4">
      <c r="A133">
        <v>28</v>
      </c>
      <c r="B133" t="s">
        <v>231</v>
      </c>
      <c r="C133">
        <v>3.778</v>
      </c>
      <c r="D133">
        <v>2.757</v>
      </c>
    </row>
    <row r="134" spans="1:4">
      <c r="A134" s="5" t="s">
        <v>232</v>
      </c>
      <c r="C134">
        <f>SUBTOTAL(1,C130:C133)</f>
        <v>3.674</v>
      </c>
      <c r="D134">
        <f>SUBTOTAL(1,D130:D133)</f>
        <v>2.66225</v>
      </c>
    </row>
    <row r="135" spans="1:4">
      <c r="A135">
        <v>29</v>
      </c>
      <c r="B135" s="4" t="s">
        <v>233</v>
      </c>
      <c r="C135" s="4">
        <v>30.677</v>
      </c>
      <c r="D135" s="4">
        <v>26.796</v>
      </c>
    </row>
    <row r="136" spans="1:4">
      <c r="A136">
        <v>29</v>
      </c>
      <c r="B136" s="4" t="s">
        <v>234</v>
      </c>
      <c r="C136" s="4">
        <v>33.332</v>
      </c>
      <c r="D136" s="4">
        <v>29.369</v>
      </c>
    </row>
    <row r="137" spans="1:4">
      <c r="A137">
        <v>29</v>
      </c>
      <c r="B137" s="4" t="s">
        <v>235</v>
      </c>
      <c r="C137" s="4">
        <v>34.547</v>
      </c>
      <c r="D137" s="4">
        <v>30.909</v>
      </c>
    </row>
    <row r="138" spans="1:4">
      <c r="A138">
        <v>29</v>
      </c>
      <c r="B138" s="4" t="s">
        <v>236</v>
      </c>
      <c r="C138" s="4">
        <v>33.457</v>
      </c>
      <c r="D138" s="4">
        <v>31.139</v>
      </c>
    </row>
    <row r="139" spans="1:4">
      <c r="A139" s="5" t="s">
        <v>237</v>
      </c>
      <c r="B139" s="4"/>
      <c r="C139" s="4">
        <f>SUBTOTAL(1,C135:C138)</f>
        <v>33.00325</v>
      </c>
      <c r="D139" s="4">
        <f>SUBTOTAL(1,D135:D138)</f>
        <v>29.55325</v>
      </c>
    </row>
    <row r="140" spans="1:4">
      <c r="A140">
        <v>30</v>
      </c>
      <c r="B140" s="6" t="s">
        <v>238</v>
      </c>
      <c r="C140" s="6">
        <v>2.934</v>
      </c>
      <c r="D140" s="6">
        <v>2.063</v>
      </c>
    </row>
    <row r="141" spans="1:4">
      <c r="A141">
        <v>30</v>
      </c>
      <c r="B141" s="6" t="s">
        <v>239</v>
      </c>
      <c r="C141" s="6">
        <v>3.293</v>
      </c>
      <c r="D141" s="6">
        <v>2.374</v>
      </c>
    </row>
    <row r="142" spans="1:4">
      <c r="A142">
        <v>30</v>
      </c>
      <c r="B142" s="6" t="s">
        <v>240</v>
      </c>
      <c r="C142" s="6">
        <v>3.303</v>
      </c>
      <c r="D142" s="6">
        <v>2.312</v>
      </c>
    </row>
    <row r="143" spans="1:4">
      <c r="A143">
        <v>30</v>
      </c>
      <c r="B143" s="6" t="s">
        <v>241</v>
      </c>
      <c r="C143" s="6">
        <v>3.273</v>
      </c>
      <c r="D143" s="6">
        <v>2.359</v>
      </c>
    </row>
    <row r="144" spans="1:4">
      <c r="A144" s="5" t="s">
        <v>242</v>
      </c>
      <c r="B144" s="6"/>
      <c r="C144" s="6">
        <f>SUBTOTAL(1,C140:C143)</f>
        <v>3.20075</v>
      </c>
      <c r="D144" s="6">
        <f>SUBTOTAL(1,D140:D143)</f>
        <v>2.277</v>
      </c>
    </row>
    <row r="145" spans="1:4">
      <c r="A145">
        <v>31</v>
      </c>
      <c r="B145" s="4" t="s">
        <v>243</v>
      </c>
      <c r="C145" s="7">
        <v>14.47</v>
      </c>
      <c r="D145" s="4">
        <v>12.801</v>
      </c>
    </row>
    <row r="146" spans="1:4">
      <c r="A146">
        <v>31</v>
      </c>
      <c r="B146" s="4" t="s">
        <v>244</v>
      </c>
      <c r="C146" s="4">
        <v>14.797</v>
      </c>
      <c r="D146" s="4">
        <v>13.197</v>
      </c>
    </row>
    <row r="147" spans="1:4">
      <c r="A147">
        <v>31</v>
      </c>
      <c r="B147" s="4" t="s">
        <v>245</v>
      </c>
      <c r="C147" s="4">
        <v>15.091</v>
      </c>
      <c r="D147" s="4">
        <v>13.187</v>
      </c>
    </row>
    <row r="148" spans="1:4">
      <c r="A148">
        <v>31</v>
      </c>
      <c r="B148" s="4" t="s">
        <v>246</v>
      </c>
      <c r="C148" s="4">
        <v>14.983</v>
      </c>
      <c r="D148" s="4">
        <v>13.895</v>
      </c>
    </row>
    <row r="149" spans="1:4">
      <c r="A149">
        <v>31</v>
      </c>
      <c r="B149" s="4" t="s">
        <v>247</v>
      </c>
      <c r="C149" s="4">
        <v>16.668</v>
      </c>
      <c r="D149" s="4">
        <v>14.533</v>
      </c>
    </row>
    <row r="150" spans="1:4">
      <c r="A150">
        <v>31</v>
      </c>
      <c r="B150" s="4" t="s">
        <v>248</v>
      </c>
      <c r="C150" s="4">
        <v>17.144</v>
      </c>
      <c r="D150" s="4">
        <v>15.432</v>
      </c>
    </row>
    <row r="151" spans="1:4">
      <c r="A151">
        <v>31</v>
      </c>
      <c r="B151" s="4" t="s">
        <v>249</v>
      </c>
      <c r="C151" s="4">
        <v>15.239</v>
      </c>
      <c r="D151" s="4">
        <v>13.496</v>
      </c>
    </row>
    <row r="152" spans="1:4">
      <c r="A152">
        <v>31</v>
      </c>
      <c r="B152" s="4" t="s">
        <v>250</v>
      </c>
      <c r="C152" s="4">
        <v>16.074</v>
      </c>
      <c r="D152" s="4">
        <v>14.405</v>
      </c>
    </row>
    <row r="153" spans="1:4">
      <c r="A153">
        <v>31</v>
      </c>
      <c r="B153" s="4" t="s">
        <v>251</v>
      </c>
      <c r="C153" s="4">
        <v>17.002</v>
      </c>
      <c r="D153" s="4">
        <v>14.965</v>
      </c>
    </row>
    <row r="154" spans="1:4">
      <c r="A154">
        <v>31</v>
      </c>
      <c r="B154" s="4" t="s">
        <v>252</v>
      </c>
      <c r="C154" s="7">
        <v>18.78</v>
      </c>
      <c r="D154" s="4">
        <v>16.475</v>
      </c>
    </row>
    <row r="155" spans="1:4">
      <c r="A155">
        <v>31</v>
      </c>
      <c r="B155" s="4" t="s">
        <v>253</v>
      </c>
      <c r="C155" s="4">
        <v>15.258</v>
      </c>
      <c r="D155" s="4">
        <v>13.509</v>
      </c>
    </row>
    <row r="156" spans="1:4">
      <c r="A156">
        <v>31</v>
      </c>
      <c r="B156" s="4" t="s">
        <v>254</v>
      </c>
      <c r="C156" s="4">
        <v>12.266</v>
      </c>
      <c r="D156" s="4">
        <v>10.908</v>
      </c>
    </row>
    <row r="157" spans="1:4">
      <c r="A157">
        <v>31</v>
      </c>
      <c r="B157" s="4" t="s">
        <v>255</v>
      </c>
      <c r="C157" s="4">
        <v>16.899</v>
      </c>
      <c r="D157" s="4">
        <v>14.735</v>
      </c>
    </row>
    <row r="158" spans="1:4">
      <c r="A158">
        <v>31</v>
      </c>
      <c r="B158" s="4" t="s">
        <v>256</v>
      </c>
      <c r="C158" s="4">
        <v>16.062</v>
      </c>
      <c r="D158" s="7">
        <v>14.62</v>
      </c>
    </row>
    <row r="159" spans="1:4">
      <c r="A159">
        <v>31</v>
      </c>
      <c r="B159" s="4" t="s">
        <v>257</v>
      </c>
      <c r="C159" s="7">
        <v>18.1</v>
      </c>
      <c r="D159" s="4">
        <v>16.126</v>
      </c>
    </row>
    <row r="160" spans="1:4">
      <c r="A160">
        <v>31</v>
      </c>
      <c r="B160" s="4" t="s">
        <v>258</v>
      </c>
      <c r="C160" s="4">
        <v>15.416</v>
      </c>
      <c r="D160" s="4">
        <v>13.859</v>
      </c>
    </row>
    <row r="161" spans="1:4">
      <c r="A161">
        <v>31</v>
      </c>
      <c r="B161" s="4" t="s">
        <v>259</v>
      </c>
      <c r="C161" s="7">
        <v>17.11</v>
      </c>
      <c r="D161" s="4">
        <v>15.225</v>
      </c>
    </row>
    <row r="162" spans="1:4">
      <c r="A162" s="5" t="s">
        <v>260</v>
      </c>
      <c r="B162" s="4"/>
      <c r="C162" s="7">
        <f>SUBTOTAL(1,C145:C161)</f>
        <v>15.9622941176471</v>
      </c>
      <c r="D162" s="4">
        <f>SUBTOTAL(1,D145:D161)</f>
        <v>14.1981176470588</v>
      </c>
    </row>
    <row r="163" spans="1:4">
      <c r="A163">
        <v>32</v>
      </c>
      <c r="B163" t="s">
        <v>261</v>
      </c>
      <c r="C163">
        <v>2.556</v>
      </c>
      <c r="D163">
        <v>1.867</v>
      </c>
    </row>
    <row r="164" spans="1:4">
      <c r="A164">
        <v>32</v>
      </c>
      <c r="B164" t="s">
        <v>262</v>
      </c>
      <c r="C164">
        <v>2.872</v>
      </c>
      <c r="D164">
        <v>1.979</v>
      </c>
    </row>
    <row r="165" spans="1:4">
      <c r="A165">
        <v>32</v>
      </c>
      <c r="B165" t="s">
        <v>263</v>
      </c>
      <c r="C165">
        <v>2.765</v>
      </c>
      <c r="D165">
        <v>2.029</v>
      </c>
    </row>
    <row r="166" spans="1:4">
      <c r="A166">
        <v>32</v>
      </c>
      <c r="B166" t="s">
        <v>264</v>
      </c>
      <c r="C166">
        <v>2.825</v>
      </c>
      <c r="D166">
        <v>1.996</v>
      </c>
    </row>
    <row r="167" spans="1:4">
      <c r="A167" s="5" t="s">
        <v>265</v>
      </c>
      <c r="C167">
        <f>SUBTOTAL(1,C163:C166)</f>
        <v>2.7545</v>
      </c>
      <c r="D167">
        <f>SUBTOTAL(1,D163:D166)</f>
        <v>1.96775</v>
      </c>
    </row>
    <row r="168" spans="1:4">
      <c r="A168">
        <v>33</v>
      </c>
      <c r="B168" s="4" t="s">
        <v>266</v>
      </c>
      <c r="C168" s="4">
        <v>27.042</v>
      </c>
      <c r="D168" s="4">
        <v>24.323</v>
      </c>
    </row>
    <row r="169" spans="1:4">
      <c r="A169">
        <v>33</v>
      </c>
      <c r="B169" s="4" t="s">
        <v>267</v>
      </c>
      <c r="C169" s="4">
        <v>28.987</v>
      </c>
      <c r="D169" s="4">
        <v>25.558</v>
      </c>
    </row>
    <row r="170" spans="1:4">
      <c r="A170">
        <v>33</v>
      </c>
      <c r="B170" s="4" t="s">
        <v>268</v>
      </c>
      <c r="C170" s="4">
        <v>29.358</v>
      </c>
      <c r="D170" s="4">
        <v>26.71</v>
      </c>
    </row>
    <row r="171" spans="1:4">
      <c r="A171">
        <v>33</v>
      </c>
      <c r="B171" s="4" t="s">
        <v>269</v>
      </c>
      <c r="C171" s="4">
        <v>30.254</v>
      </c>
      <c r="D171" s="4">
        <v>26.696</v>
      </c>
    </row>
    <row r="172" spans="1:4">
      <c r="A172" s="5" t="s">
        <v>270</v>
      </c>
      <c r="B172" s="4"/>
      <c r="C172" s="4">
        <f>SUBTOTAL(1,C168:C171)</f>
        <v>28.91025</v>
      </c>
      <c r="D172" s="4">
        <f>SUBTOTAL(1,D168:D171)</f>
        <v>25.82175</v>
      </c>
    </row>
    <row r="173" spans="1:4">
      <c r="A173">
        <v>34</v>
      </c>
      <c r="B173" t="s">
        <v>271</v>
      </c>
      <c r="C173">
        <v>14.658</v>
      </c>
      <c r="D173">
        <v>13.256</v>
      </c>
    </row>
    <row r="174" spans="1:4">
      <c r="A174" s="5" t="s">
        <v>272</v>
      </c>
      <c r="C174">
        <f>SUBTOTAL(1,C173)</f>
        <v>14.658</v>
      </c>
      <c r="D174">
        <f>SUBTOTAL(1,D173)</f>
        <v>13.256</v>
      </c>
    </row>
    <row r="175" spans="1:4">
      <c r="A175">
        <v>35</v>
      </c>
      <c r="B175" s="4" t="s">
        <v>273</v>
      </c>
      <c r="C175" s="4">
        <v>2.119</v>
      </c>
      <c r="D175" s="4">
        <v>1.609</v>
      </c>
    </row>
    <row r="176" spans="1:4">
      <c r="A176">
        <v>35</v>
      </c>
      <c r="B176" s="4" t="s">
        <v>274</v>
      </c>
      <c r="C176" s="4">
        <v>2.327</v>
      </c>
      <c r="D176" s="4">
        <v>1.744</v>
      </c>
    </row>
    <row r="177" spans="1:4">
      <c r="A177">
        <v>35</v>
      </c>
      <c r="B177" s="4" t="s">
        <v>275</v>
      </c>
      <c r="C177" s="4">
        <v>2.303</v>
      </c>
      <c r="D177" s="4">
        <v>1.653</v>
      </c>
    </row>
    <row r="178" spans="1:4">
      <c r="A178">
        <v>35</v>
      </c>
      <c r="B178" s="4" t="s">
        <v>276</v>
      </c>
      <c r="C178" s="4">
        <v>2.371</v>
      </c>
      <c r="D178" s="4">
        <v>1.713</v>
      </c>
    </row>
    <row r="179" spans="1:4">
      <c r="A179" s="5" t="s">
        <v>277</v>
      </c>
      <c r="B179" s="4"/>
      <c r="C179" s="4">
        <f>SUBTOTAL(1,C175:C178)</f>
        <v>2.28</v>
      </c>
      <c r="D179" s="4">
        <f>SUBTOTAL(1,D175:D178)</f>
        <v>1.67975</v>
      </c>
    </row>
    <row r="180" spans="1:4">
      <c r="A180">
        <v>36</v>
      </c>
      <c r="B180" t="s">
        <v>278</v>
      </c>
      <c r="C180">
        <v>23.325</v>
      </c>
      <c r="D180">
        <v>20.497</v>
      </c>
    </row>
    <row r="181" spans="1:4">
      <c r="A181">
        <v>36</v>
      </c>
      <c r="B181" t="s">
        <v>279</v>
      </c>
      <c r="C181">
        <v>24.756</v>
      </c>
      <c r="D181">
        <v>21.789</v>
      </c>
    </row>
    <row r="182" spans="1:4">
      <c r="A182">
        <v>36</v>
      </c>
      <c r="B182" t="s">
        <v>280</v>
      </c>
      <c r="C182">
        <v>25.32</v>
      </c>
      <c r="D182">
        <v>22.565</v>
      </c>
    </row>
    <row r="183" spans="1:4">
      <c r="A183">
        <v>36</v>
      </c>
      <c r="B183" t="s">
        <v>281</v>
      </c>
      <c r="C183">
        <v>25.543</v>
      </c>
      <c r="D183">
        <v>22.826</v>
      </c>
    </row>
    <row r="184" spans="1:4">
      <c r="A184" s="5" t="s">
        <v>282</v>
      </c>
      <c r="C184">
        <f>SUBTOTAL(1,C180:C183)</f>
        <v>24.736</v>
      </c>
      <c r="D184">
        <f>SUBTOTAL(1,D180:D183)</f>
        <v>21.91925</v>
      </c>
    </row>
    <row r="185" spans="1:4">
      <c r="A185">
        <v>37</v>
      </c>
      <c r="B185" s="4" t="s">
        <v>283</v>
      </c>
      <c r="C185" s="4">
        <v>1.926</v>
      </c>
      <c r="D185" s="4">
        <v>1.359</v>
      </c>
    </row>
    <row r="186" spans="1:4">
      <c r="A186">
        <v>37</v>
      </c>
      <c r="B186" s="4" t="s">
        <v>284</v>
      </c>
      <c r="C186" s="4">
        <v>1.98</v>
      </c>
      <c r="D186" s="4">
        <v>1.451</v>
      </c>
    </row>
    <row r="187" spans="1:4">
      <c r="A187">
        <v>37</v>
      </c>
      <c r="B187" s="4" t="s">
        <v>285</v>
      </c>
      <c r="C187" s="4">
        <v>2.091</v>
      </c>
      <c r="D187" s="4">
        <v>1.545</v>
      </c>
    </row>
    <row r="188" spans="1:4">
      <c r="A188">
        <v>37</v>
      </c>
      <c r="B188" s="4" t="s">
        <v>286</v>
      </c>
      <c r="C188" s="4">
        <v>2.13</v>
      </c>
      <c r="D188" s="4">
        <v>1.566</v>
      </c>
    </row>
    <row r="189" spans="1:4">
      <c r="A189" s="5" t="s">
        <v>287</v>
      </c>
      <c r="B189" s="4"/>
      <c r="C189" s="4">
        <f>SUBTOTAL(1,C185:C188)</f>
        <v>2.03175</v>
      </c>
      <c r="D189" s="4">
        <f>SUBTOTAL(1,D185:D188)</f>
        <v>1.48025</v>
      </c>
    </row>
    <row r="190" spans="1:4">
      <c r="A190">
        <v>38</v>
      </c>
      <c r="B190" t="s">
        <v>288</v>
      </c>
      <c r="C190">
        <v>19.723</v>
      </c>
      <c r="D190">
        <v>17.832</v>
      </c>
    </row>
    <row r="191" spans="1:4">
      <c r="A191">
        <v>38</v>
      </c>
      <c r="B191" t="s">
        <v>289</v>
      </c>
      <c r="C191">
        <v>21.476</v>
      </c>
      <c r="D191">
        <v>19.862</v>
      </c>
    </row>
    <row r="192" spans="1:4">
      <c r="A192">
        <v>38</v>
      </c>
      <c r="B192" t="s">
        <v>290</v>
      </c>
      <c r="C192">
        <v>22.027</v>
      </c>
      <c r="D192">
        <v>19.961</v>
      </c>
    </row>
    <row r="193" spans="1:4">
      <c r="A193">
        <v>38</v>
      </c>
      <c r="B193" t="s">
        <v>291</v>
      </c>
      <c r="C193">
        <v>22.081</v>
      </c>
      <c r="D193">
        <v>19.948</v>
      </c>
    </row>
    <row r="194" spans="1:4">
      <c r="A194" s="5" t="s">
        <v>292</v>
      </c>
      <c r="C194">
        <f>SUBTOTAL(1,C190:C193)</f>
        <v>21.32675</v>
      </c>
      <c r="D194">
        <f>SUBTOTAL(1,D190:D193)</f>
        <v>19.40075</v>
      </c>
    </row>
    <row r="195" spans="1:4">
      <c r="A195">
        <v>39</v>
      </c>
      <c r="B195" s="4" t="s">
        <v>293</v>
      </c>
      <c r="C195" s="4">
        <v>10.425</v>
      </c>
      <c r="D195" s="4">
        <v>9.398</v>
      </c>
    </row>
    <row r="196" spans="1:4">
      <c r="A196">
        <v>39</v>
      </c>
      <c r="B196" t="s">
        <v>294</v>
      </c>
      <c r="C196">
        <v>16.607</v>
      </c>
      <c r="D196">
        <v>15.336</v>
      </c>
    </row>
    <row r="197" spans="1:4">
      <c r="A197">
        <v>39</v>
      </c>
      <c r="B197" t="s">
        <v>295</v>
      </c>
      <c r="C197">
        <v>17.935</v>
      </c>
      <c r="D197">
        <v>16.264</v>
      </c>
    </row>
    <row r="198" spans="1:4">
      <c r="A198">
        <v>39</v>
      </c>
      <c r="B198" t="s">
        <v>296</v>
      </c>
      <c r="C198">
        <v>18.259</v>
      </c>
      <c r="D198">
        <v>17.253</v>
      </c>
    </row>
    <row r="199" spans="1:4">
      <c r="A199">
        <v>39</v>
      </c>
      <c r="B199" t="s">
        <v>297</v>
      </c>
      <c r="C199">
        <v>18.658</v>
      </c>
      <c r="D199">
        <v>16.884</v>
      </c>
    </row>
    <row r="200" spans="1:4">
      <c r="A200" s="5" t="s">
        <v>298</v>
      </c>
      <c r="C200">
        <f>SUBTOTAL(1,C195:C199)</f>
        <v>16.3768</v>
      </c>
      <c r="D200">
        <f>SUBTOTAL(1,D195:D199)</f>
        <v>15.027</v>
      </c>
    </row>
    <row r="201" spans="1:4">
      <c r="A201">
        <v>40</v>
      </c>
      <c r="B201" s="4" t="s">
        <v>299</v>
      </c>
      <c r="C201" s="4">
        <v>1.569</v>
      </c>
      <c r="D201" s="4">
        <v>1.182</v>
      </c>
    </row>
    <row r="202" spans="1:4">
      <c r="A202">
        <v>40</v>
      </c>
      <c r="B202" s="4" t="s">
        <v>300</v>
      </c>
      <c r="C202" s="4">
        <v>1.844</v>
      </c>
      <c r="D202" s="4">
        <v>1.284</v>
      </c>
    </row>
    <row r="203" spans="1:4">
      <c r="A203">
        <v>40</v>
      </c>
      <c r="B203" s="4" t="s">
        <v>301</v>
      </c>
      <c r="C203" s="4">
        <v>1.657</v>
      </c>
      <c r="D203" s="4">
        <v>1.287</v>
      </c>
    </row>
    <row r="204" spans="1:4">
      <c r="A204">
        <v>40</v>
      </c>
      <c r="B204" s="4" t="s">
        <v>302</v>
      </c>
      <c r="C204" s="4">
        <v>1.866</v>
      </c>
      <c r="D204" s="4">
        <v>1.33</v>
      </c>
    </row>
    <row r="205" spans="1:4">
      <c r="A205" s="5" t="s">
        <v>303</v>
      </c>
      <c r="B205" s="4"/>
      <c r="C205" s="4">
        <f>SUBTOTAL(1,C201:C204)</f>
        <v>1.734</v>
      </c>
      <c r="D205" s="4">
        <f>SUBTOTAL(1,D201:D204)</f>
        <v>1.27075</v>
      </c>
    </row>
    <row r="206" spans="1:4">
      <c r="A206">
        <v>41</v>
      </c>
      <c r="B206" t="s">
        <v>304</v>
      </c>
      <c r="C206">
        <v>14.218</v>
      </c>
      <c r="D206">
        <v>12.592</v>
      </c>
    </row>
    <row r="207" spans="1:4">
      <c r="A207">
        <v>41</v>
      </c>
      <c r="B207" t="s">
        <v>305</v>
      </c>
      <c r="C207">
        <v>16.015</v>
      </c>
      <c r="D207">
        <v>14.484</v>
      </c>
    </row>
    <row r="208" spans="1:4">
      <c r="A208">
        <v>41</v>
      </c>
      <c r="B208" t="s">
        <v>306</v>
      </c>
      <c r="C208">
        <v>16.043</v>
      </c>
      <c r="D208">
        <v>14.928</v>
      </c>
    </row>
    <row r="209" spans="1:4">
      <c r="A209">
        <v>41</v>
      </c>
      <c r="B209" t="s">
        <v>307</v>
      </c>
      <c r="C209">
        <v>15.87</v>
      </c>
      <c r="D209">
        <v>15.03</v>
      </c>
    </row>
    <row r="210" spans="1:4">
      <c r="A210" s="5" t="s">
        <v>308</v>
      </c>
      <c r="C210">
        <f>SUBTOTAL(1,C206:C209)</f>
        <v>15.5365</v>
      </c>
      <c r="D210">
        <f>SUBTOTAL(1,D206:D209)</f>
        <v>14.2585</v>
      </c>
    </row>
    <row r="211" spans="1:4">
      <c r="A211">
        <v>42</v>
      </c>
      <c r="B211" s="4" t="s">
        <v>309</v>
      </c>
      <c r="C211" s="4">
        <v>1.512</v>
      </c>
      <c r="D211" s="4">
        <v>1.027</v>
      </c>
    </row>
    <row r="212" spans="1:4">
      <c r="A212">
        <v>42</v>
      </c>
      <c r="B212" s="4" t="s">
        <v>310</v>
      </c>
      <c r="C212" s="4">
        <v>1.575</v>
      </c>
      <c r="D212" s="4">
        <v>1.122</v>
      </c>
    </row>
    <row r="213" spans="1:4">
      <c r="A213">
        <v>42</v>
      </c>
      <c r="B213" s="4" t="s">
        <v>311</v>
      </c>
      <c r="C213" s="4">
        <v>1.491</v>
      </c>
      <c r="D213" s="4">
        <v>1.155</v>
      </c>
    </row>
    <row r="214" spans="1:4">
      <c r="A214">
        <v>42</v>
      </c>
      <c r="B214" s="4" t="s">
        <v>312</v>
      </c>
      <c r="C214" s="4">
        <v>1.566</v>
      </c>
      <c r="D214" s="4">
        <v>1.13</v>
      </c>
    </row>
    <row r="215" spans="1:4">
      <c r="A215" s="5" t="s">
        <v>313</v>
      </c>
      <c r="B215" s="4"/>
      <c r="C215" s="4">
        <f>SUBTOTAL(1,C211:C214)</f>
        <v>1.536</v>
      </c>
      <c r="D215" s="4">
        <f>SUBTOTAL(1,D211:D214)</f>
        <v>1.1085</v>
      </c>
    </row>
    <row r="216" spans="1:4">
      <c r="A216">
        <v>43</v>
      </c>
      <c r="B216" t="s">
        <v>314</v>
      </c>
      <c r="C216">
        <v>11.953</v>
      </c>
      <c r="D216">
        <v>11.307</v>
      </c>
    </row>
    <row r="217" spans="1:4">
      <c r="A217">
        <v>43</v>
      </c>
      <c r="B217" t="s">
        <v>315</v>
      </c>
      <c r="C217">
        <v>13.079</v>
      </c>
      <c r="D217">
        <v>12.338</v>
      </c>
    </row>
    <row r="218" spans="1:4">
      <c r="A218">
        <v>43</v>
      </c>
      <c r="B218" t="s">
        <v>316</v>
      </c>
      <c r="C218">
        <v>13.75</v>
      </c>
      <c r="D218">
        <v>12.575</v>
      </c>
    </row>
    <row r="219" spans="1:4">
      <c r="A219">
        <v>43</v>
      </c>
      <c r="B219" t="s">
        <v>317</v>
      </c>
      <c r="C219">
        <v>13.657</v>
      </c>
      <c r="D219">
        <v>12.883</v>
      </c>
    </row>
    <row r="220" spans="1:4">
      <c r="A220" s="5" t="s">
        <v>318</v>
      </c>
      <c r="C220">
        <f>SUBTOTAL(1,C216:C219)</f>
        <v>13.10975</v>
      </c>
      <c r="D220">
        <f>SUBTOTAL(1,D216:D219)</f>
        <v>12.27575</v>
      </c>
    </row>
    <row r="221" spans="1:4">
      <c r="A221">
        <v>44</v>
      </c>
      <c r="B221" s="4" t="s">
        <v>319</v>
      </c>
      <c r="C221" s="4">
        <v>10.603</v>
      </c>
      <c r="D221" s="4">
        <v>9.602</v>
      </c>
    </row>
    <row r="222" spans="1:4">
      <c r="A222">
        <v>44</v>
      </c>
      <c r="B222" s="4" t="s">
        <v>320</v>
      </c>
      <c r="C222" s="4">
        <v>11.31</v>
      </c>
      <c r="D222" s="4">
        <v>10.807</v>
      </c>
    </row>
    <row r="223" spans="1:4">
      <c r="A223">
        <v>44</v>
      </c>
      <c r="B223" s="4" t="s">
        <v>321</v>
      </c>
      <c r="C223" s="4">
        <v>11.487</v>
      </c>
      <c r="D223" s="4">
        <v>11.132</v>
      </c>
    </row>
    <row r="224" spans="1:4">
      <c r="A224">
        <v>44</v>
      </c>
      <c r="B224" s="4" t="s">
        <v>322</v>
      </c>
      <c r="C224" s="4">
        <v>11.677</v>
      </c>
      <c r="D224" s="4">
        <v>10.818</v>
      </c>
    </row>
    <row r="225" spans="1:4">
      <c r="A225" s="5" t="s">
        <v>323</v>
      </c>
      <c r="B225" s="4"/>
      <c r="C225" s="4">
        <f>SUBTOTAL(1,C221:C224)</f>
        <v>11.26925</v>
      </c>
      <c r="D225" s="4">
        <f>SUBTOTAL(1,D221:D224)</f>
        <v>10.58975</v>
      </c>
    </row>
    <row r="226" spans="1:4">
      <c r="A226" s="5" t="s">
        <v>324</v>
      </c>
      <c r="B226" s="4"/>
      <c r="C226" s="4">
        <f>SUBTOTAL(1,C3:C224)</f>
        <v>10.0278603351955</v>
      </c>
      <c r="D226" s="4">
        <f>SUBTOTAL(1,D3:D224)</f>
        <v>7.43417318435755</v>
      </c>
    </row>
    <row r="227" spans="1:4">
      <c r="A227">
        <v>1</v>
      </c>
      <c r="B227" s="8" t="s">
        <v>325</v>
      </c>
      <c r="C227" s="8">
        <v>9.416</v>
      </c>
      <c r="D227" s="8">
        <v>8.432</v>
      </c>
    </row>
    <row r="228" spans="1:4">
      <c r="A228">
        <v>1</v>
      </c>
      <c r="B228" s="8" t="s">
        <v>326</v>
      </c>
      <c r="C228" s="8">
        <v>9.58</v>
      </c>
      <c r="D228" s="8">
        <v>9.31</v>
      </c>
    </row>
    <row r="229" spans="1:4">
      <c r="A229">
        <v>1</v>
      </c>
      <c r="B229" s="8" t="s">
        <v>327</v>
      </c>
      <c r="C229" s="8">
        <v>10.111</v>
      </c>
      <c r="D229" s="8">
        <v>9.259</v>
      </c>
    </row>
    <row r="230" spans="1:4">
      <c r="A230">
        <v>1</v>
      </c>
      <c r="B230" s="8" t="s">
        <v>328</v>
      </c>
      <c r="C230" s="8">
        <v>10.056</v>
      </c>
      <c r="D230" s="8">
        <v>9.668</v>
      </c>
    </row>
    <row r="231" spans="1:4">
      <c r="A231" s="5" t="s">
        <v>104</v>
      </c>
      <c r="B231" s="8"/>
      <c r="C231" s="8">
        <f>SUBTOTAL(1,C228:C230)</f>
        <v>9.91566666666667</v>
      </c>
      <c r="D231" s="8">
        <f>SUBTOTAL(1,D228:D230)</f>
        <v>9.41233333333333</v>
      </c>
    </row>
    <row r="232" spans="1:4">
      <c r="A232">
        <v>2</v>
      </c>
      <c r="B232" t="s">
        <v>329</v>
      </c>
      <c r="C232">
        <v>8.135</v>
      </c>
      <c r="D232">
        <v>7.551</v>
      </c>
    </row>
    <row r="233" spans="1:4">
      <c r="A233">
        <v>2</v>
      </c>
      <c r="B233" t="s">
        <v>330</v>
      </c>
      <c r="C233">
        <v>8.517</v>
      </c>
      <c r="D233">
        <v>8.179</v>
      </c>
    </row>
    <row r="234" spans="1:4">
      <c r="A234">
        <v>2</v>
      </c>
      <c r="B234" t="s">
        <v>331</v>
      </c>
      <c r="C234">
        <v>8.602</v>
      </c>
      <c r="D234">
        <v>8.081</v>
      </c>
    </row>
    <row r="235" spans="1:4">
      <c r="A235">
        <v>2</v>
      </c>
      <c r="B235" t="s">
        <v>332</v>
      </c>
      <c r="C235">
        <v>8.909</v>
      </c>
      <c r="D235">
        <v>8.278</v>
      </c>
    </row>
    <row r="236" spans="1:4">
      <c r="A236" s="5" t="s">
        <v>109</v>
      </c>
      <c r="C236">
        <f>SUBTOTAL(1,C232:C235)</f>
        <v>8.54075</v>
      </c>
      <c r="D236">
        <f>SUBTOTAL(1,D232:D235)</f>
        <v>8.02225</v>
      </c>
    </row>
    <row r="237" spans="1:4">
      <c r="A237">
        <v>3</v>
      </c>
      <c r="B237" s="4" t="s">
        <v>333</v>
      </c>
      <c r="C237" s="4">
        <v>6.891</v>
      </c>
      <c r="D237" s="4">
        <v>6.44</v>
      </c>
    </row>
    <row r="238" spans="1:4">
      <c r="A238">
        <v>3</v>
      </c>
      <c r="B238" s="4" t="s">
        <v>334</v>
      </c>
      <c r="C238" s="4">
        <v>7.231</v>
      </c>
      <c r="D238" s="4">
        <v>6.688</v>
      </c>
    </row>
    <row r="239" spans="1:4">
      <c r="A239">
        <v>3</v>
      </c>
      <c r="B239" s="4" t="s">
        <v>335</v>
      </c>
      <c r="C239" s="4">
        <v>7.375</v>
      </c>
      <c r="D239" s="4">
        <v>7.38</v>
      </c>
    </row>
    <row r="240" spans="1:4">
      <c r="A240">
        <v>3</v>
      </c>
      <c r="B240" s="4" t="s">
        <v>336</v>
      </c>
      <c r="C240" s="4">
        <v>7.61</v>
      </c>
      <c r="D240" s="4">
        <v>7.296</v>
      </c>
    </row>
    <row r="241" spans="1:4">
      <c r="A241" s="5" t="s">
        <v>114</v>
      </c>
      <c r="B241" s="4"/>
      <c r="C241" s="4">
        <f>SUBTOTAL(1,C237:C240)</f>
        <v>7.27675</v>
      </c>
      <c r="D241" s="4">
        <f>SUBTOTAL(1,D237:D240)</f>
        <v>6.951</v>
      </c>
    </row>
    <row r="242" spans="1:4">
      <c r="A242">
        <v>4</v>
      </c>
      <c r="B242" t="s">
        <v>337</v>
      </c>
      <c r="C242">
        <v>5.765</v>
      </c>
      <c r="D242">
        <v>5.469</v>
      </c>
    </row>
    <row r="243" spans="1:4">
      <c r="A243">
        <v>4</v>
      </c>
      <c r="B243" t="s">
        <v>338</v>
      </c>
      <c r="C243">
        <v>6.209</v>
      </c>
      <c r="D243">
        <v>5.952</v>
      </c>
    </row>
    <row r="244" spans="1:4">
      <c r="A244">
        <v>4</v>
      </c>
      <c r="B244" t="s">
        <v>339</v>
      </c>
      <c r="C244">
        <v>6.343</v>
      </c>
      <c r="D244">
        <v>6.083</v>
      </c>
    </row>
    <row r="245" spans="1:4">
      <c r="A245">
        <v>4</v>
      </c>
      <c r="B245" t="s">
        <v>340</v>
      </c>
      <c r="C245">
        <v>6.358</v>
      </c>
      <c r="D245">
        <v>6.189</v>
      </c>
    </row>
    <row r="246" spans="1:4">
      <c r="A246" s="5" t="s">
        <v>119</v>
      </c>
      <c r="C246">
        <f>SUBTOTAL(1,C242:C245)</f>
        <v>6.16875</v>
      </c>
      <c r="D246">
        <f>SUBTOTAL(1,D242:D245)</f>
        <v>5.92325</v>
      </c>
    </row>
    <row r="247" spans="1:4">
      <c r="A247">
        <v>5</v>
      </c>
      <c r="B247" s="4" t="s">
        <v>341</v>
      </c>
      <c r="C247" s="4">
        <v>5.016</v>
      </c>
      <c r="D247" s="4">
        <v>4.778</v>
      </c>
    </row>
    <row r="248" spans="1:4">
      <c r="A248">
        <v>5</v>
      </c>
      <c r="B248" s="4" t="s">
        <v>342</v>
      </c>
      <c r="C248" s="4">
        <v>5.531</v>
      </c>
      <c r="D248" s="4">
        <v>5.03</v>
      </c>
    </row>
    <row r="249" spans="1:4">
      <c r="A249">
        <v>5</v>
      </c>
      <c r="B249" s="4" t="s">
        <v>343</v>
      </c>
      <c r="C249" s="4">
        <v>5.529</v>
      </c>
      <c r="D249" s="4">
        <v>5.38</v>
      </c>
    </row>
    <row r="250" spans="1:4">
      <c r="A250">
        <v>5</v>
      </c>
      <c r="B250" s="4" t="s">
        <v>344</v>
      </c>
      <c r="C250" s="4">
        <v>5.371</v>
      </c>
      <c r="D250" s="4">
        <v>5.161</v>
      </c>
    </row>
    <row r="251" spans="1:4">
      <c r="A251" s="5" t="s">
        <v>124</v>
      </c>
      <c r="B251" s="4"/>
      <c r="C251" s="4">
        <f>SUBTOTAL(1,C247:C250)</f>
        <v>5.36175</v>
      </c>
      <c r="D251" s="4">
        <f>SUBTOTAL(1,D247:D250)</f>
        <v>5.08725</v>
      </c>
    </row>
    <row r="252" spans="1:4">
      <c r="A252">
        <v>6</v>
      </c>
      <c r="B252" t="s">
        <v>345</v>
      </c>
      <c r="C252">
        <v>4.095</v>
      </c>
      <c r="D252">
        <v>4.068</v>
      </c>
    </row>
    <row r="253" spans="1:4">
      <c r="A253">
        <v>6</v>
      </c>
      <c r="B253" t="s">
        <v>346</v>
      </c>
      <c r="C253">
        <v>4.615</v>
      </c>
      <c r="D253">
        <v>4.561</v>
      </c>
    </row>
    <row r="254" spans="1:4">
      <c r="A254">
        <v>6</v>
      </c>
      <c r="B254" t="s">
        <v>347</v>
      </c>
      <c r="C254">
        <v>4.509</v>
      </c>
      <c r="D254">
        <v>4.676</v>
      </c>
    </row>
    <row r="255" spans="1:4">
      <c r="A255">
        <v>6</v>
      </c>
      <c r="B255" t="s">
        <v>348</v>
      </c>
      <c r="C255">
        <v>4.791</v>
      </c>
      <c r="D255">
        <v>4.581</v>
      </c>
    </row>
    <row r="256" spans="1:4">
      <c r="A256" s="5" t="s">
        <v>129</v>
      </c>
      <c r="C256">
        <f>SUBTOTAL(1,C252:C255)</f>
        <v>4.5025</v>
      </c>
      <c r="D256">
        <f>SUBTOTAL(1,D252:D255)</f>
        <v>4.4715</v>
      </c>
    </row>
    <row r="257" spans="1:4">
      <c r="A257">
        <v>7</v>
      </c>
      <c r="B257" s="4" t="s">
        <v>349</v>
      </c>
      <c r="C257" s="4">
        <v>3.682</v>
      </c>
      <c r="D257" s="4">
        <v>3.794</v>
      </c>
    </row>
    <row r="258" spans="1:4">
      <c r="A258">
        <v>7</v>
      </c>
      <c r="B258" s="4" t="s">
        <v>350</v>
      </c>
      <c r="C258" s="4">
        <v>4.21</v>
      </c>
      <c r="D258" s="4">
        <v>4.034</v>
      </c>
    </row>
    <row r="259" spans="1:4">
      <c r="A259">
        <v>7</v>
      </c>
      <c r="B259" s="4" t="s">
        <v>351</v>
      </c>
      <c r="C259" s="4">
        <v>4.172</v>
      </c>
      <c r="D259" s="4">
        <v>4.047</v>
      </c>
    </row>
    <row r="260" spans="1:4">
      <c r="A260">
        <v>7</v>
      </c>
      <c r="B260" s="4" t="s">
        <v>352</v>
      </c>
      <c r="C260" s="4">
        <v>4.166</v>
      </c>
      <c r="D260" s="4">
        <v>4.34</v>
      </c>
    </row>
    <row r="261" spans="1:4">
      <c r="A261" s="5" t="s">
        <v>134</v>
      </c>
      <c r="B261" s="4"/>
      <c r="C261" s="4">
        <f>SUBTOTAL(1,C257:C260)</f>
        <v>4.0575</v>
      </c>
      <c r="D261" s="4">
        <f>SUBTOTAL(1,D257:D260)</f>
        <v>4.05375</v>
      </c>
    </row>
    <row r="262" spans="1:4">
      <c r="A262">
        <v>8</v>
      </c>
      <c r="B262" t="s">
        <v>353</v>
      </c>
      <c r="C262">
        <v>9.093</v>
      </c>
      <c r="D262">
        <v>9.918</v>
      </c>
    </row>
    <row r="263" spans="1:4">
      <c r="A263">
        <v>8</v>
      </c>
      <c r="B263" t="s">
        <v>354</v>
      </c>
      <c r="C263">
        <v>10.505</v>
      </c>
      <c r="D263">
        <v>10.851</v>
      </c>
    </row>
    <row r="264" spans="1:4">
      <c r="A264">
        <v>8</v>
      </c>
      <c r="B264" t="s">
        <v>355</v>
      </c>
      <c r="C264">
        <v>10.557</v>
      </c>
      <c r="D264">
        <v>11.296</v>
      </c>
    </row>
    <row r="265" spans="1:4">
      <c r="A265">
        <v>8</v>
      </c>
      <c r="B265" t="s">
        <v>356</v>
      </c>
      <c r="C265">
        <v>10.641</v>
      </c>
      <c r="D265">
        <v>11.116</v>
      </c>
    </row>
    <row r="266" spans="1:4">
      <c r="A266" s="5" t="s">
        <v>139</v>
      </c>
      <c r="C266">
        <f>SUBTOTAL(1,C262:C265)</f>
        <v>10.199</v>
      </c>
      <c r="D266">
        <f>SUBTOTAL(1,D262:D265)</f>
        <v>10.79525</v>
      </c>
    </row>
    <row r="267" spans="1:4">
      <c r="A267">
        <v>9</v>
      </c>
      <c r="B267" s="4" t="s">
        <v>357</v>
      </c>
      <c r="C267" s="4">
        <v>8.19</v>
      </c>
      <c r="D267" s="4">
        <v>8.873</v>
      </c>
    </row>
    <row r="268" spans="1:4">
      <c r="A268">
        <v>9</v>
      </c>
      <c r="B268" s="4" t="s">
        <v>358</v>
      </c>
      <c r="C268" s="4">
        <v>8.656</v>
      </c>
      <c r="D268" s="4">
        <v>9.665</v>
      </c>
    </row>
    <row r="269" spans="1:4">
      <c r="A269">
        <v>9</v>
      </c>
      <c r="B269" s="4" t="s">
        <v>359</v>
      </c>
      <c r="C269" s="4">
        <v>8.501</v>
      </c>
      <c r="D269" s="4">
        <v>9.81</v>
      </c>
    </row>
    <row r="270" spans="1:4">
      <c r="A270">
        <v>9</v>
      </c>
      <c r="B270" s="4" t="s">
        <v>360</v>
      </c>
      <c r="C270" s="4">
        <v>8.627</v>
      </c>
      <c r="D270" s="4">
        <v>9.987</v>
      </c>
    </row>
    <row r="271" spans="1:4">
      <c r="A271" s="5" t="s">
        <v>144</v>
      </c>
      <c r="B271" s="4"/>
      <c r="C271" s="4">
        <f>SUBTOTAL(1,C267:C270)</f>
        <v>8.4935</v>
      </c>
      <c r="D271" s="4">
        <f>SUBTOTAL(1,D267:D270)</f>
        <v>9.58375</v>
      </c>
    </row>
    <row r="272" spans="1:4">
      <c r="A272">
        <v>10</v>
      </c>
      <c r="B272" t="s">
        <v>361</v>
      </c>
      <c r="C272">
        <v>6.874</v>
      </c>
      <c r="D272">
        <v>7.772</v>
      </c>
    </row>
    <row r="273" spans="1:4">
      <c r="A273">
        <v>10</v>
      </c>
      <c r="B273" t="s">
        <v>362</v>
      </c>
      <c r="C273">
        <v>7.631</v>
      </c>
      <c r="D273">
        <v>8.626</v>
      </c>
    </row>
    <row r="274" spans="1:4">
      <c r="A274">
        <v>10</v>
      </c>
      <c r="B274" t="s">
        <v>363</v>
      </c>
      <c r="C274">
        <v>7.743</v>
      </c>
      <c r="D274">
        <v>8.345</v>
      </c>
    </row>
    <row r="275" spans="1:4">
      <c r="A275">
        <v>10</v>
      </c>
      <c r="B275" t="s">
        <v>364</v>
      </c>
      <c r="C275">
        <v>7.989</v>
      </c>
      <c r="D275">
        <v>8.328</v>
      </c>
    </row>
    <row r="276" spans="1:4">
      <c r="A276" s="5" t="s">
        <v>149</v>
      </c>
      <c r="C276">
        <f>SUBTOTAL(1,C272:C275)</f>
        <v>7.55925</v>
      </c>
      <c r="D276">
        <f>SUBTOTAL(1,D272:D275)</f>
        <v>8.26775</v>
      </c>
    </row>
    <row r="277" spans="1:4">
      <c r="A277">
        <v>11</v>
      </c>
      <c r="B277" s="4" t="s">
        <v>365</v>
      </c>
      <c r="C277" s="4">
        <v>5.834</v>
      </c>
      <c r="D277" s="4">
        <v>6.681</v>
      </c>
    </row>
    <row r="278" spans="1:4">
      <c r="A278">
        <v>11</v>
      </c>
      <c r="B278" s="4" t="s">
        <v>366</v>
      </c>
      <c r="C278" s="4">
        <v>6.589</v>
      </c>
      <c r="D278" s="4">
        <v>7.337</v>
      </c>
    </row>
    <row r="279" spans="1:4">
      <c r="A279">
        <v>11</v>
      </c>
      <c r="B279" s="4" t="s">
        <v>367</v>
      </c>
      <c r="C279" s="4">
        <v>6.788</v>
      </c>
      <c r="D279" s="4">
        <v>7.535</v>
      </c>
    </row>
    <row r="280" spans="1:4">
      <c r="A280">
        <v>11</v>
      </c>
      <c r="B280" s="4" t="s">
        <v>368</v>
      </c>
      <c r="C280" s="4">
        <v>6.753</v>
      </c>
      <c r="D280" s="4">
        <v>7.731</v>
      </c>
    </row>
    <row r="281" spans="1:4">
      <c r="A281" s="5" t="s">
        <v>154</v>
      </c>
      <c r="B281" s="4"/>
      <c r="C281" s="4">
        <f>SUBTOTAL(1,C277:C280)</f>
        <v>6.491</v>
      </c>
      <c r="D281" s="4">
        <f>SUBTOTAL(1,D277:D280)</f>
        <v>7.321</v>
      </c>
    </row>
    <row r="282" spans="1:4">
      <c r="A282">
        <v>12</v>
      </c>
      <c r="B282" t="s">
        <v>369</v>
      </c>
      <c r="C282">
        <v>3.173</v>
      </c>
      <c r="D282">
        <v>3.151</v>
      </c>
    </row>
    <row r="283" spans="1:4">
      <c r="A283">
        <v>12</v>
      </c>
      <c r="B283" t="s">
        <v>370</v>
      </c>
      <c r="C283">
        <v>3.398</v>
      </c>
      <c r="D283">
        <v>3.473</v>
      </c>
    </row>
    <row r="284" spans="1:4">
      <c r="A284">
        <v>12</v>
      </c>
      <c r="B284" t="s">
        <v>371</v>
      </c>
      <c r="C284">
        <v>3.504</v>
      </c>
      <c r="D284">
        <v>3.314</v>
      </c>
    </row>
    <row r="285" spans="1:4">
      <c r="A285">
        <v>12</v>
      </c>
      <c r="B285" t="s">
        <v>372</v>
      </c>
      <c r="C285">
        <v>3.438</v>
      </c>
      <c r="D285">
        <v>3.677</v>
      </c>
    </row>
    <row r="286" spans="1:4">
      <c r="A286" s="5" t="s">
        <v>159</v>
      </c>
      <c r="C286">
        <f>SUBTOTAL(1,C282:C285)</f>
        <v>3.37825</v>
      </c>
      <c r="D286">
        <f>SUBTOTAL(1,D282:D285)</f>
        <v>3.40375</v>
      </c>
    </row>
    <row r="287" spans="1:4">
      <c r="A287">
        <v>13</v>
      </c>
      <c r="B287" s="4" t="s">
        <v>373</v>
      </c>
      <c r="C287" s="4">
        <v>2.606</v>
      </c>
      <c r="D287" s="4">
        <v>2.857</v>
      </c>
    </row>
    <row r="288" spans="1:4">
      <c r="A288">
        <v>13</v>
      </c>
      <c r="B288" s="4" t="s">
        <v>374</v>
      </c>
      <c r="C288" s="4">
        <v>3.007</v>
      </c>
      <c r="D288" s="4">
        <v>3.073</v>
      </c>
    </row>
    <row r="289" spans="1:4">
      <c r="A289">
        <v>13</v>
      </c>
      <c r="B289" s="4" t="s">
        <v>375</v>
      </c>
      <c r="C289" s="4">
        <v>2.961</v>
      </c>
      <c r="D289" s="4">
        <v>3.108</v>
      </c>
    </row>
    <row r="290" spans="1:4">
      <c r="A290">
        <v>13</v>
      </c>
      <c r="B290" s="4" t="s">
        <v>376</v>
      </c>
      <c r="C290" s="4">
        <v>2.991</v>
      </c>
      <c r="D290" s="4">
        <v>3.245</v>
      </c>
    </row>
    <row r="291" spans="1:4">
      <c r="A291" s="5" t="s">
        <v>164</v>
      </c>
      <c r="B291" s="4"/>
      <c r="C291" s="4">
        <f>SUBTOTAL(1,C287:C290)</f>
        <v>2.89125</v>
      </c>
      <c r="D291" s="4">
        <f>SUBTOTAL(1,D287:D290)</f>
        <v>3.07075</v>
      </c>
    </row>
    <row r="292" spans="1:4">
      <c r="A292">
        <v>14</v>
      </c>
      <c r="B292" t="s">
        <v>377</v>
      </c>
      <c r="C292">
        <v>2.374</v>
      </c>
      <c r="D292">
        <v>2.558</v>
      </c>
    </row>
    <row r="293" spans="1:4">
      <c r="A293">
        <v>14</v>
      </c>
      <c r="B293" t="s">
        <v>378</v>
      </c>
      <c r="C293">
        <v>2.555</v>
      </c>
      <c r="D293">
        <v>2.634</v>
      </c>
    </row>
    <row r="294" spans="1:4">
      <c r="A294">
        <v>14</v>
      </c>
      <c r="B294" t="s">
        <v>379</v>
      </c>
      <c r="C294">
        <v>2.632</v>
      </c>
      <c r="D294">
        <v>2.757</v>
      </c>
    </row>
    <row r="295" spans="1:4">
      <c r="A295">
        <v>14</v>
      </c>
      <c r="B295" t="s">
        <v>380</v>
      </c>
      <c r="C295">
        <v>2.657</v>
      </c>
      <c r="D295">
        <v>2.872</v>
      </c>
    </row>
    <row r="296" spans="1:4">
      <c r="A296" s="5" t="s">
        <v>169</v>
      </c>
      <c r="C296">
        <f>SUBTOTAL(1,C292:C295)</f>
        <v>2.5545</v>
      </c>
      <c r="D296">
        <f>SUBTOTAL(1,D292:D295)</f>
        <v>2.70525</v>
      </c>
    </row>
    <row r="297" spans="1:4">
      <c r="A297">
        <v>15</v>
      </c>
      <c r="B297" s="4" t="s">
        <v>381</v>
      </c>
      <c r="C297" s="4">
        <v>2.13</v>
      </c>
      <c r="D297" s="4">
        <v>2.26</v>
      </c>
    </row>
    <row r="298" spans="1:4">
      <c r="A298">
        <v>15</v>
      </c>
      <c r="B298" s="4" t="s">
        <v>382</v>
      </c>
      <c r="C298" s="4">
        <v>2.038</v>
      </c>
      <c r="D298" s="4">
        <v>2.515</v>
      </c>
    </row>
    <row r="299" spans="1:4">
      <c r="A299">
        <v>15</v>
      </c>
      <c r="B299" s="4" t="s">
        <v>383</v>
      </c>
      <c r="C299" s="4">
        <v>2.271</v>
      </c>
      <c r="D299" s="4">
        <v>2.476</v>
      </c>
    </row>
    <row r="300" spans="1:4">
      <c r="A300">
        <v>15</v>
      </c>
      <c r="B300" s="4" t="s">
        <v>384</v>
      </c>
      <c r="C300" s="4">
        <v>2.125</v>
      </c>
      <c r="D300" s="4">
        <v>2.476</v>
      </c>
    </row>
    <row r="301" spans="1:4">
      <c r="A301" s="5" t="s">
        <v>174</v>
      </c>
      <c r="B301" s="4"/>
      <c r="C301" s="4">
        <f>SUBTOTAL(1,C297:C300)</f>
        <v>2.141</v>
      </c>
      <c r="D301" s="4">
        <f>SUBTOTAL(1,D297:D300)</f>
        <v>2.43175</v>
      </c>
    </row>
    <row r="302" spans="1:4">
      <c r="A302">
        <v>16</v>
      </c>
      <c r="B302" t="s">
        <v>385</v>
      </c>
      <c r="C302">
        <v>5.025</v>
      </c>
      <c r="D302">
        <v>6.222</v>
      </c>
    </row>
    <row r="303" spans="1:4">
      <c r="A303">
        <v>16</v>
      </c>
      <c r="B303" t="s">
        <v>386</v>
      </c>
      <c r="C303">
        <v>5.469</v>
      </c>
      <c r="D303">
        <v>6.851</v>
      </c>
    </row>
    <row r="304" spans="1:4">
      <c r="A304">
        <v>16</v>
      </c>
      <c r="B304" t="s">
        <v>387</v>
      </c>
      <c r="C304">
        <v>6.032</v>
      </c>
      <c r="D304">
        <v>6.783</v>
      </c>
    </row>
    <row r="305" spans="1:4">
      <c r="A305">
        <v>16</v>
      </c>
      <c r="B305" t="s">
        <v>388</v>
      </c>
      <c r="C305">
        <v>5.99</v>
      </c>
      <c r="D305">
        <v>6.766</v>
      </c>
    </row>
    <row r="306" spans="1:4">
      <c r="A306" s="5" t="s">
        <v>179</v>
      </c>
      <c r="C306">
        <f>SUBTOTAL(1,C302:C305)</f>
        <v>5.629</v>
      </c>
      <c r="D306">
        <f>SUBTOTAL(1,D302:D305)</f>
        <v>6.6555</v>
      </c>
    </row>
    <row r="307" spans="1:4">
      <c r="A307">
        <v>17</v>
      </c>
      <c r="B307" s="4" t="s">
        <v>389</v>
      </c>
      <c r="C307" s="4">
        <v>4.32</v>
      </c>
      <c r="D307" s="4">
        <v>5.384</v>
      </c>
    </row>
    <row r="308" spans="1:4">
      <c r="A308">
        <v>17</v>
      </c>
      <c r="B308" s="4" t="s">
        <v>390</v>
      </c>
      <c r="C308" s="4">
        <v>4.596</v>
      </c>
      <c r="D308" s="4">
        <v>5.901</v>
      </c>
    </row>
    <row r="309" spans="1:4">
      <c r="A309">
        <v>17</v>
      </c>
      <c r="B309" s="4" t="s">
        <v>391</v>
      </c>
      <c r="C309" s="4">
        <v>4.854</v>
      </c>
      <c r="D309" s="4">
        <v>6.225</v>
      </c>
    </row>
    <row r="310" spans="1:4">
      <c r="A310">
        <v>17</v>
      </c>
      <c r="B310" s="4" t="s">
        <v>392</v>
      </c>
      <c r="C310" s="4">
        <v>4.892</v>
      </c>
      <c r="D310" s="4">
        <v>5.901</v>
      </c>
    </row>
    <row r="311" spans="1:4">
      <c r="A311" s="5" t="s">
        <v>184</v>
      </c>
      <c r="B311" s="4"/>
      <c r="C311" s="4">
        <f>SUBTOTAL(1,C307:C310)</f>
        <v>4.6655</v>
      </c>
      <c r="D311" s="4">
        <f>SUBTOTAL(1,D307:D310)</f>
        <v>5.85275</v>
      </c>
    </row>
    <row r="312" spans="1:4">
      <c r="A312">
        <v>18</v>
      </c>
      <c r="B312" t="s">
        <v>393</v>
      </c>
      <c r="C312">
        <v>3.919</v>
      </c>
      <c r="D312">
        <v>4.926</v>
      </c>
    </row>
    <row r="313" spans="1:4">
      <c r="A313">
        <v>18</v>
      </c>
      <c r="B313" t="s">
        <v>394</v>
      </c>
      <c r="C313">
        <v>4.146</v>
      </c>
      <c r="D313">
        <v>5.41</v>
      </c>
    </row>
    <row r="314" spans="1:4">
      <c r="A314">
        <v>18</v>
      </c>
      <c r="B314" t="s">
        <v>395</v>
      </c>
      <c r="C314">
        <v>4.236</v>
      </c>
      <c r="D314">
        <v>5.596</v>
      </c>
    </row>
    <row r="315" spans="1:4">
      <c r="A315">
        <v>18</v>
      </c>
      <c r="B315" t="s">
        <v>396</v>
      </c>
      <c r="C315">
        <v>4.306</v>
      </c>
      <c r="D315">
        <v>5.417</v>
      </c>
    </row>
    <row r="316" spans="1:4">
      <c r="A316" s="5" t="s">
        <v>188</v>
      </c>
      <c r="C316">
        <f>SUBTOTAL(1,C312:C315)</f>
        <v>4.15175</v>
      </c>
      <c r="D316">
        <f>SUBTOTAL(1,D312:D315)</f>
        <v>5.33725</v>
      </c>
    </row>
    <row r="317" spans="1:4">
      <c r="A317">
        <v>19</v>
      </c>
      <c r="B317" s="4" t="s">
        <v>397</v>
      </c>
      <c r="C317" s="4">
        <v>3.287</v>
      </c>
      <c r="D317" s="4">
        <v>4.575</v>
      </c>
    </row>
    <row r="318" spans="1:4">
      <c r="A318">
        <v>19</v>
      </c>
      <c r="B318" s="4" t="s">
        <v>398</v>
      </c>
      <c r="C318" s="4">
        <v>3.657</v>
      </c>
      <c r="D318" s="4">
        <v>4.987</v>
      </c>
    </row>
    <row r="319" spans="1:4">
      <c r="A319">
        <v>19</v>
      </c>
      <c r="B319" s="4" t="s">
        <v>399</v>
      </c>
      <c r="C319" s="4">
        <v>3.612</v>
      </c>
      <c r="D319" s="4">
        <v>4.88</v>
      </c>
    </row>
    <row r="320" spans="1:4">
      <c r="A320">
        <v>19</v>
      </c>
      <c r="B320" s="4" t="s">
        <v>400</v>
      </c>
      <c r="C320" s="4">
        <v>3.651</v>
      </c>
      <c r="D320" s="4">
        <v>4.914</v>
      </c>
    </row>
    <row r="321" spans="1:4">
      <c r="A321" s="5" t="s">
        <v>193</v>
      </c>
      <c r="B321" s="4"/>
      <c r="C321" s="4">
        <f>SUBTOTAL(1,C317:C320)</f>
        <v>3.55175</v>
      </c>
      <c r="D321" s="4">
        <f>SUBTOTAL(1,D317:D320)</f>
        <v>4.839</v>
      </c>
    </row>
    <row r="322" spans="1:4">
      <c r="A322">
        <v>20</v>
      </c>
      <c r="B322" t="s">
        <v>401</v>
      </c>
      <c r="C322">
        <v>6.674</v>
      </c>
      <c r="D322">
        <v>9.366</v>
      </c>
    </row>
    <row r="323" spans="1:4">
      <c r="A323">
        <v>20</v>
      </c>
      <c r="B323" t="s">
        <v>402</v>
      </c>
      <c r="C323">
        <v>7.917</v>
      </c>
      <c r="D323">
        <v>10.603</v>
      </c>
    </row>
    <row r="324" spans="1:4">
      <c r="A324">
        <v>20</v>
      </c>
      <c r="B324" t="s">
        <v>403</v>
      </c>
      <c r="C324">
        <v>8.31</v>
      </c>
      <c r="D324">
        <v>10.904</v>
      </c>
    </row>
    <row r="325" spans="1:4">
      <c r="A325">
        <v>20</v>
      </c>
      <c r="B325" t="s">
        <v>404</v>
      </c>
      <c r="C325">
        <v>8.123</v>
      </c>
      <c r="D325">
        <v>10.435</v>
      </c>
    </row>
    <row r="326" spans="1:4">
      <c r="A326" s="5" t="s">
        <v>198</v>
      </c>
    </row>
    <row r="327" spans="1:4">
      <c r="A327">
        <v>1</v>
      </c>
      <c r="B327" s="4" t="s">
        <v>405</v>
      </c>
      <c r="C327" s="4">
        <v>2.674</v>
      </c>
      <c r="D327" s="4">
        <v>3.9</v>
      </c>
    </row>
    <row r="328" spans="1:4">
      <c r="A328">
        <v>1</v>
      </c>
      <c r="B328" s="4" t="s">
        <v>406</v>
      </c>
      <c r="C328" s="4">
        <v>3.214</v>
      </c>
      <c r="D328" s="4">
        <v>4.393</v>
      </c>
    </row>
    <row r="329" spans="1:4">
      <c r="A329">
        <v>1</v>
      </c>
      <c r="B329" s="4" t="s">
        <v>407</v>
      </c>
      <c r="C329" s="4">
        <v>3.248</v>
      </c>
      <c r="D329" s="4">
        <v>4.498</v>
      </c>
    </row>
    <row r="330" spans="1:4">
      <c r="A330">
        <v>1</v>
      </c>
      <c r="B330" s="4" t="s">
        <v>408</v>
      </c>
      <c r="C330" s="4">
        <v>3.206</v>
      </c>
      <c r="D330" s="4">
        <v>4.491</v>
      </c>
    </row>
    <row r="331" spans="1:4">
      <c r="A331" s="5" t="s">
        <v>104</v>
      </c>
      <c r="B331" s="4"/>
      <c r="C331" s="4">
        <f>SUBTOTAL(1,C328:C330)</f>
        <v>3.22266666666667</v>
      </c>
      <c r="D331" s="4">
        <f>SUBTOTAL(1,D328:D330)</f>
        <v>4.46066666666667</v>
      </c>
    </row>
    <row r="332" spans="1:4">
      <c r="A332">
        <v>2</v>
      </c>
      <c r="B332" t="s">
        <v>409</v>
      </c>
      <c r="C332">
        <v>2.371</v>
      </c>
      <c r="D332">
        <v>3.657</v>
      </c>
    </row>
    <row r="333" spans="1:4">
      <c r="A333">
        <v>2</v>
      </c>
      <c r="B333" t="s">
        <v>410</v>
      </c>
      <c r="C333">
        <v>2.754</v>
      </c>
      <c r="D333">
        <v>3.987</v>
      </c>
    </row>
    <row r="334" spans="1:4">
      <c r="A334">
        <v>2</v>
      </c>
      <c r="B334" t="s">
        <v>411</v>
      </c>
      <c r="C334">
        <v>2.673</v>
      </c>
      <c r="D334">
        <v>4.04</v>
      </c>
    </row>
    <row r="335" spans="1:4">
      <c r="A335">
        <v>2</v>
      </c>
      <c r="B335" t="s">
        <v>412</v>
      </c>
      <c r="C335">
        <v>2.843</v>
      </c>
      <c r="D335">
        <v>4.033</v>
      </c>
    </row>
    <row r="336" spans="1:4">
      <c r="A336" s="5" t="s">
        <v>109</v>
      </c>
      <c r="C336">
        <f>SUBTOTAL(1,C332:C335)</f>
        <v>2.66025</v>
      </c>
      <c r="D336">
        <f>SUBTOTAL(1,D332:D335)</f>
        <v>3.92925</v>
      </c>
    </row>
    <row r="337" spans="1:4">
      <c r="A337">
        <v>3</v>
      </c>
      <c r="B337" s="4" t="s">
        <v>413</v>
      </c>
      <c r="C337" s="4">
        <v>2.036</v>
      </c>
      <c r="D337" s="4">
        <v>3.336</v>
      </c>
    </row>
    <row r="338" spans="1:4">
      <c r="A338">
        <v>3</v>
      </c>
      <c r="B338" s="4" t="s">
        <v>414</v>
      </c>
      <c r="C338" s="4">
        <v>2.259</v>
      </c>
      <c r="D338" s="4">
        <v>3.68</v>
      </c>
    </row>
    <row r="339" spans="1:4">
      <c r="A339">
        <v>3</v>
      </c>
      <c r="B339" s="4" t="s">
        <v>415</v>
      </c>
      <c r="C339" s="4">
        <v>2.468</v>
      </c>
      <c r="D339" s="4">
        <v>3.696</v>
      </c>
    </row>
    <row r="340" spans="1:4">
      <c r="A340">
        <v>3</v>
      </c>
      <c r="B340" s="4" t="s">
        <v>416</v>
      </c>
      <c r="C340" s="4">
        <v>2.361</v>
      </c>
      <c r="D340" s="4">
        <v>3.71</v>
      </c>
    </row>
    <row r="341" spans="1:4">
      <c r="A341" s="5" t="s">
        <v>114</v>
      </c>
      <c r="B341" s="4"/>
      <c r="C341" s="4">
        <f>SUBTOTAL(1,C337:C340)</f>
        <v>2.281</v>
      </c>
      <c r="D341" s="4">
        <f>SUBTOTAL(1,D337:D340)</f>
        <v>3.6055</v>
      </c>
    </row>
    <row r="342" spans="1:4">
      <c r="A342">
        <v>4</v>
      </c>
      <c r="B342" t="s">
        <v>417</v>
      </c>
      <c r="C342">
        <v>6.436</v>
      </c>
      <c r="D342">
        <v>8.507</v>
      </c>
    </row>
    <row r="343" spans="1:4">
      <c r="A343">
        <v>4</v>
      </c>
      <c r="B343" t="s">
        <v>418</v>
      </c>
      <c r="C343">
        <v>6.896</v>
      </c>
      <c r="D343">
        <v>9.46</v>
      </c>
    </row>
    <row r="344" spans="1:4">
      <c r="A344">
        <v>4</v>
      </c>
      <c r="B344" t="s">
        <v>419</v>
      </c>
      <c r="C344">
        <v>6.912</v>
      </c>
      <c r="D344">
        <v>9.651</v>
      </c>
    </row>
    <row r="345" spans="1:4">
      <c r="A345">
        <v>4</v>
      </c>
      <c r="B345" t="s">
        <v>420</v>
      </c>
      <c r="C345">
        <v>6.807</v>
      </c>
      <c r="D345">
        <v>9.613</v>
      </c>
    </row>
    <row r="346" spans="1:4">
      <c r="A346" s="5" t="s">
        <v>119</v>
      </c>
      <c r="C346">
        <f>SUBTOTAL(1,C342:C345)</f>
        <v>6.76275</v>
      </c>
      <c r="D346">
        <f>SUBTOTAL(1,D342:D345)</f>
        <v>9.30775</v>
      </c>
    </row>
    <row r="347" spans="1:4">
      <c r="A347">
        <v>5</v>
      </c>
      <c r="B347" s="4" t="s">
        <v>421</v>
      </c>
      <c r="C347" s="4">
        <v>5.485</v>
      </c>
      <c r="D347" s="4">
        <v>7.642</v>
      </c>
    </row>
    <row r="348" spans="1:4">
      <c r="A348">
        <v>5</v>
      </c>
      <c r="B348" s="4" t="s">
        <v>422</v>
      </c>
      <c r="C348" s="4">
        <v>5.647</v>
      </c>
      <c r="D348" s="4">
        <v>8.762</v>
      </c>
    </row>
    <row r="349" spans="1:4">
      <c r="A349">
        <v>5</v>
      </c>
      <c r="B349" s="4" t="s">
        <v>423</v>
      </c>
      <c r="C349" s="4">
        <v>5.752</v>
      </c>
      <c r="D349" s="4">
        <v>8.825</v>
      </c>
    </row>
    <row r="350" spans="1:4">
      <c r="A350">
        <v>5</v>
      </c>
      <c r="B350" s="4" t="s">
        <v>424</v>
      </c>
      <c r="C350" s="4">
        <v>5.936</v>
      </c>
      <c r="D350" s="4">
        <v>8.933</v>
      </c>
    </row>
    <row r="351" spans="1:4">
      <c r="A351" s="5" t="s">
        <v>124</v>
      </c>
      <c r="B351" s="4"/>
      <c r="C351" s="4">
        <f>SUBTOTAL(1,C347:C350)</f>
        <v>5.705</v>
      </c>
      <c r="D351" s="4">
        <f>SUBTOTAL(1,D347:D350)</f>
        <v>8.5405</v>
      </c>
    </row>
    <row r="352" spans="1:4">
      <c r="A352">
        <v>6</v>
      </c>
      <c r="B352" t="s">
        <v>425</v>
      </c>
      <c r="C352">
        <v>4.902</v>
      </c>
      <c r="D352">
        <v>7.246</v>
      </c>
    </row>
    <row r="353" spans="1:4">
      <c r="A353">
        <v>6</v>
      </c>
      <c r="B353" t="s">
        <v>426</v>
      </c>
      <c r="C353">
        <v>5.164</v>
      </c>
      <c r="D353">
        <v>8.231</v>
      </c>
    </row>
    <row r="354" spans="1:4">
      <c r="A354">
        <v>6</v>
      </c>
      <c r="B354" t="s">
        <v>427</v>
      </c>
      <c r="C354">
        <v>5.221</v>
      </c>
      <c r="D354">
        <v>8.011</v>
      </c>
    </row>
    <row r="355" spans="1:4">
      <c r="A355">
        <v>6</v>
      </c>
      <c r="B355" t="s">
        <v>428</v>
      </c>
      <c r="C355">
        <v>5.251</v>
      </c>
      <c r="D355">
        <v>7.949</v>
      </c>
    </row>
    <row r="356" spans="1:4">
      <c r="A356" s="5" t="s">
        <v>129</v>
      </c>
      <c r="C356">
        <f>SUBTOTAL(1,C352:C355)</f>
        <v>5.1345</v>
      </c>
      <c r="D356">
        <f>SUBTOTAL(1,D352:D355)</f>
        <v>7.85925</v>
      </c>
    </row>
    <row r="357" spans="1:4">
      <c r="A357">
        <v>7</v>
      </c>
      <c r="B357" s="4" t="s">
        <v>429</v>
      </c>
      <c r="C357" s="4">
        <v>4.024</v>
      </c>
      <c r="D357" s="4">
        <v>6.644</v>
      </c>
    </row>
    <row r="358" spans="1:4">
      <c r="A358">
        <v>7</v>
      </c>
      <c r="B358" s="4" t="s">
        <v>430</v>
      </c>
      <c r="C358" s="4">
        <v>4.597</v>
      </c>
      <c r="D358" s="4">
        <v>7.534</v>
      </c>
    </row>
    <row r="359" spans="1:4">
      <c r="A359">
        <v>7</v>
      </c>
      <c r="B359" s="4" t="s">
        <v>431</v>
      </c>
      <c r="C359" s="4">
        <v>4.495</v>
      </c>
      <c r="D359" s="4">
        <v>7.208</v>
      </c>
    </row>
    <row r="360" spans="1:4">
      <c r="A360">
        <v>7</v>
      </c>
      <c r="B360" s="4" t="s">
        <v>432</v>
      </c>
      <c r="C360" s="4">
        <v>4.58</v>
      </c>
      <c r="D360" s="4">
        <v>7.386</v>
      </c>
    </row>
    <row r="361" spans="1:4">
      <c r="A361" s="5" t="s">
        <v>134</v>
      </c>
      <c r="B361" s="4"/>
      <c r="C361" s="4">
        <f>SUBTOTAL(1,C357:C360)</f>
        <v>4.424</v>
      </c>
      <c r="D361" s="4">
        <f>SUBTOTAL(1,D357:D360)</f>
        <v>7.193</v>
      </c>
    </row>
    <row r="362" spans="1:4">
      <c r="A362">
        <v>8</v>
      </c>
      <c r="B362" t="s">
        <v>433</v>
      </c>
      <c r="C362">
        <v>3.538</v>
      </c>
      <c r="D362">
        <v>6.266</v>
      </c>
    </row>
    <row r="363" spans="1:4">
      <c r="A363">
        <v>8</v>
      </c>
      <c r="B363" t="s">
        <v>434</v>
      </c>
      <c r="C363">
        <v>3.988</v>
      </c>
      <c r="D363">
        <v>6.599</v>
      </c>
    </row>
    <row r="364" spans="1:4">
      <c r="A364">
        <v>8</v>
      </c>
      <c r="B364" t="s">
        <v>435</v>
      </c>
      <c r="C364">
        <v>4.114</v>
      </c>
      <c r="D364">
        <v>6.822</v>
      </c>
    </row>
    <row r="365" spans="1:4">
      <c r="A365">
        <v>8</v>
      </c>
      <c r="B365" t="s">
        <v>436</v>
      </c>
      <c r="C365">
        <v>4.078</v>
      </c>
      <c r="D365">
        <v>6.966</v>
      </c>
    </row>
    <row r="366" spans="1:4">
      <c r="A366" s="5" t="s">
        <v>139</v>
      </c>
      <c r="C366">
        <f>SUBTOTAL(1,C362:C365)</f>
        <v>3.9295</v>
      </c>
      <c r="D366">
        <f>SUBTOTAL(1,D362:D365)</f>
        <v>6.66325</v>
      </c>
    </row>
    <row r="367" spans="1:4">
      <c r="A367">
        <v>9</v>
      </c>
      <c r="B367" s="4" t="s">
        <v>437</v>
      </c>
      <c r="C367" s="4">
        <v>3.404</v>
      </c>
      <c r="D367" s="4">
        <v>5.597</v>
      </c>
    </row>
    <row r="368" spans="1:4">
      <c r="A368">
        <v>9</v>
      </c>
      <c r="B368" s="4" t="s">
        <v>438</v>
      </c>
      <c r="C368" s="4">
        <v>3.428</v>
      </c>
      <c r="D368" s="4">
        <v>6.311</v>
      </c>
    </row>
    <row r="369" spans="1:4">
      <c r="A369">
        <v>9</v>
      </c>
      <c r="B369" s="4" t="s">
        <v>439</v>
      </c>
      <c r="C369" s="4">
        <v>3.65</v>
      </c>
      <c r="D369" s="4">
        <v>6.194</v>
      </c>
    </row>
    <row r="370" spans="1:4">
      <c r="A370">
        <v>9</v>
      </c>
      <c r="B370" s="4" t="s">
        <v>440</v>
      </c>
      <c r="C370" s="4">
        <v>3.507</v>
      </c>
      <c r="D370" s="4">
        <v>6.535</v>
      </c>
    </row>
    <row r="371" spans="1:4">
      <c r="A371" s="5" t="s">
        <v>144</v>
      </c>
      <c r="B371" s="4"/>
      <c r="C371" s="4">
        <f>SUBTOTAL(1,C367:C370)</f>
        <v>3.49725</v>
      </c>
      <c r="D371" s="4">
        <f>SUBTOTAL(1,D367:D370)</f>
        <v>6.15925</v>
      </c>
    </row>
    <row r="372" spans="1:4">
      <c r="B372" t="s">
        <v>441</v>
      </c>
      <c r="C372">
        <v>2.627</v>
      </c>
      <c r="D372">
        <v>5.248</v>
      </c>
    </row>
    <row r="373" spans="1:4">
      <c r="B373" t="s">
        <v>442</v>
      </c>
      <c r="C373">
        <v>2.998</v>
      </c>
      <c r="D373">
        <v>5.798</v>
      </c>
    </row>
    <row r="374" spans="1:4">
      <c r="B374" t="s">
        <v>443</v>
      </c>
      <c r="C374">
        <v>2.992</v>
      </c>
      <c r="D374">
        <v>5.828</v>
      </c>
    </row>
    <row r="375" spans="1:4">
      <c r="B375" t="s">
        <v>444</v>
      </c>
      <c r="C375">
        <v>3.08</v>
      </c>
      <c r="D375">
        <v>5.919</v>
      </c>
    </row>
    <row r="376" spans="1:4">
      <c r="C376">
        <f>SUBTOTAL(1,C373:C375)</f>
        <v>3.02333333333333</v>
      </c>
      <c r="D376">
        <f>SUBTOTAL(1,D373:D375)</f>
        <v>5.84833333333333</v>
      </c>
    </row>
    <row r="377" spans="1:4">
      <c r="B377" s="4" t="s">
        <v>445</v>
      </c>
      <c r="C377" s="4">
        <v>2.616</v>
      </c>
      <c r="D377" s="4">
        <v>5.155</v>
      </c>
    </row>
    <row r="378" spans="1:4">
      <c r="B378" s="4" t="s">
        <v>446</v>
      </c>
      <c r="C378" s="4">
        <v>2.597</v>
      </c>
      <c r="D378" s="4">
        <v>5.342</v>
      </c>
    </row>
    <row r="379" spans="1:4">
      <c r="B379" s="4" t="s">
        <v>447</v>
      </c>
      <c r="C379" s="4">
        <v>2.723</v>
      </c>
      <c r="D379" s="4">
        <v>5.591</v>
      </c>
    </row>
    <row r="380" spans="1:4">
      <c r="B380" s="4" t="s">
        <v>448</v>
      </c>
      <c r="C380" s="4">
        <v>2.567</v>
      </c>
      <c r="D380" s="4">
        <v>5.509</v>
      </c>
    </row>
    <row r="381" spans="1:4">
      <c r="B381" s="4"/>
      <c r="C381" s="4">
        <f ca="1">SUBTOTAL(1,C377:C383)</f>
        <v>2.6355</v>
      </c>
      <c r="D381" s="4">
        <f ca="1">SUBTOTAL(1,D377:D383)</f>
        <v>5.3165</v>
      </c>
    </row>
    <row r="382" spans="1:4">
      <c r="B382" t="s">
        <v>449</v>
      </c>
      <c r="C382">
        <v>2.43</v>
      </c>
      <c r="D382">
        <v>5.018</v>
      </c>
    </row>
    <row r="383" spans="1:4">
      <c r="B383" t="s">
        <v>450</v>
      </c>
      <c r="C383">
        <v>2.606</v>
      </c>
      <c r="D383">
        <v>5.178</v>
      </c>
    </row>
    <row r="384" spans="1:4">
      <c r="B384" t="s">
        <v>451</v>
      </c>
      <c r="C384">
        <v>2.695</v>
      </c>
      <c r="D384">
        <v>5.355</v>
      </c>
    </row>
    <row r="385" spans="1:4">
      <c r="B385" t="s">
        <v>452</v>
      </c>
      <c r="C385">
        <v>2.642</v>
      </c>
      <c r="D385">
        <v>5.357</v>
      </c>
    </row>
    <row r="386" spans="1:4">
      <c r="C386">
        <f ca="1">SUBTOTAL(1,C378:C385)</f>
        <v>2.60857142857143</v>
      </c>
      <c r="D386">
        <f ca="1">SUBTOTAL(1,D378:D385)</f>
        <v>5.33571428571429</v>
      </c>
    </row>
    <row r="387" spans="1:4">
      <c r="B387" s="4" t="s">
        <v>453</v>
      </c>
      <c r="C387" s="4">
        <v>2.123</v>
      </c>
      <c r="D387" s="4">
        <v>4.615</v>
      </c>
    </row>
    <row r="388" spans="1:4">
      <c r="B388" s="4" t="s">
        <v>454</v>
      </c>
      <c r="C388" s="4">
        <v>2.269</v>
      </c>
      <c r="D388" s="4">
        <v>4.981</v>
      </c>
    </row>
    <row r="389" spans="1:4">
      <c r="B389" s="4" t="s">
        <v>455</v>
      </c>
      <c r="C389" s="4">
        <v>2.255</v>
      </c>
      <c r="D389" s="4">
        <v>5.005</v>
      </c>
    </row>
    <row r="390" spans="1:4">
      <c r="B390" s="4" t="s">
        <v>456</v>
      </c>
      <c r="C390" s="4">
        <v>2.351</v>
      </c>
      <c r="D390" s="4">
        <v>5.068</v>
      </c>
    </row>
    <row r="391" spans="1:4">
      <c r="B391" s="4"/>
      <c r="C391" s="4">
        <f>SUBTOTAL(1,C387:C390)</f>
        <v>2.2495</v>
      </c>
      <c r="D391" s="4">
        <f>SUBTOTAL(1,D387:D390)</f>
        <v>4.91725</v>
      </c>
    </row>
    <row r="392" spans="1:4">
      <c r="B392" t="s">
        <v>457</v>
      </c>
      <c r="C392">
        <v>1.953</v>
      </c>
      <c r="D392">
        <v>4.343</v>
      </c>
    </row>
    <row r="393" spans="1:4">
      <c r="B393" t="s">
        <v>458</v>
      </c>
      <c r="C393">
        <v>2.005</v>
      </c>
      <c r="D393">
        <v>4.782</v>
      </c>
    </row>
    <row r="394" spans="1:4">
      <c r="B394" t="s">
        <v>459</v>
      </c>
      <c r="C394">
        <v>1.999</v>
      </c>
      <c r="D394">
        <v>4.594</v>
      </c>
    </row>
    <row r="395" spans="1:4">
      <c r="B395" t="s">
        <v>460</v>
      </c>
      <c r="C395">
        <v>2.035</v>
      </c>
      <c r="D395">
        <v>4.734</v>
      </c>
    </row>
    <row r="396" spans="1:4">
      <c r="C396">
        <f>SUBTOTAL(1,C392:C395)</f>
        <v>1.998</v>
      </c>
      <c r="D396">
        <f>SUBTOTAL(1,D392:D395)</f>
        <v>4.61325</v>
      </c>
    </row>
    <row r="397" spans="1:4">
      <c r="A397">
        <v>2</v>
      </c>
      <c r="B397" t="s">
        <v>461</v>
      </c>
      <c r="C397">
        <v>1.773</v>
      </c>
      <c r="D397">
        <v>4.101</v>
      </c>
    </row>
    <row r="398" spans="1:4">
      <c r="A398">
        <v>2</v>
      </c>
      <c r="B398" t="s">
        <v>462</v>
      </c>
      <c r="C398">
        <v>1.717</v>
      </c>
      <c r="D398">
        <v>4.538</v>
      </c>
    </row>
    <row r="399" spans="1:4">
      <c r="A399">
        <v>2</v>
      </c>
      <c r="B399" t="s">
        <v>463</v>
      </c>
      <c r="C399">
        <v>1.767</v>
      </c>
      <c r="D399">
        <v>4.486</v>
      </c>
    </row>
    <row r="400" spans="1:4">
      <c r="A400">
        <v>2</v>
      </c>
      <c r="B400" t="s">
        <v>464</v>
      </c>
      <c r="C400">
        <v>1.835</v>
      </c>
      <c r="D400">
        <v>4.438</v>
      </c>
    </row>
    <row r="401" spans="1:4">
      <c r="A401" s="5" t="s">
        <v>109</v>
      </c>
      <c r="C401">
        <f>SUBTOTAL(1,C397:C400)</f>
        <v>1.773</v>
      </c>
      <c r="D401">
        <f>SUBTOTAL(1,D397:D400)</f>
        <v>4.39075</v>
      </c>
    </row>
    <row r="402" spans="1:4">
      <c r="A402">
        <v>3</v>
      </c>
      <c r="B402" s="4" t="s">
        <v>465</v>
      </c>
      <c r="C402" s="4">
        <v>1.58</v>
      </c>
      <c r="D402" s="4">
        <v>3.934</v>
      </c>
    </row>
    <row r="403" spans="1:4">
      <c r="A403">
        <v>3</v>
      </c>
      <c r="B403" s="4" t="s">
        <v>466</v>
      </c>
      <c r="C403" s="4">
        <v>1.649</v>
      </c>
      <c r="D403" s="4">
        <v>4.277</v>
      </c>
    </row>
    <row r="404" spans="1:4">
      <c r="A404">
        <v>3</v>
      </c>
      <c r="B404" s="4" t="s">
        <v>467</v>
      </c>
      <c r="C404" s="4">
        <v>1.636</v>
      </c>
      <c r="D404" s="4">
        <v>4.344</v>
      </c>
    </row>
    <row r="405" spans="1:4">
      <c r="A405">
        <v>3</v>
      </c>
      <c r="B405" s="4" t="s">
        <v>468</v>
      </c>
      <c r="C405" s="4">
        <v>1.555</v>
      </c>
      <c r="D405" s="4">
        <v>4.346</v>
      </c>
    </row>
    <row r="406" spans="1:4">
      <c r="A406" s="5" t="s">
        <v>114</v>
      </c>
      <c r="C406">
        <f>SUBTOTAL(1,C402:C405)</f>
        <v>1.605</v>
      </c>
      <c r="D406">
        <f>SUBTOTAL(1,D402:D405)</f>
        <v>4.22525</v>
      </c>
    </row>
    <row r="407" spans="1:4">
      <c r="A407">
        <v>4</v>
      </c>
      <c r="B407" t="s">
        <v>469</v>
      </c>
      <c r="C407">
        <v>1.475</v>
      </c>
      <c r="D407">
        <v>3.835</v>
      </c>
    </row>
    <row r="408" spans="1:4">
      <c r="A408">
        <v>4</v>
      </c>
      <c r="B408" t="s">
        <v>470</v>
      </c>
      <c r="C408">
        <v>1.511</v>
      </c>
      <c r="D408">
        <v>4.075</v>
      </c>
    </row>
    <row r="409" spans="1:4">
      <c r="A409">
        <v>4</v>
      </c>
      <c r="B409" t="s">
        <v>471</v>
      </c>
      <c r="C409">
        <v>1.578</v>
      </c>
      <c r="D409">
        <v>4.221</v>
      </c>
    </row>
    <row r="410" spans="1:4">
      <c r="A410">
        <v>4</v>
      </c>
      <c r="B410" t="s">
        <v>472</v>
      </c>
      <c r="C410">
        <v>1.594</v>
      </c>
      <c r="D410">
        <v>4.221</v>
      </c>
    </row>
    <row r="411" spans="1:4">
      <c r="A411" s="5" t="s">
        <v>119</v>
      </c>
      <c r="C411">
        <f>SUBTOTAL(1,C407:C410)</f>
        <v>1.5395</v>
      </c>
      <c r="D411">
        <f>SUBTOTAL(1,D407:D410)</f>
        <v>4.088</v>
      </c>
    </row>
    <row r="412" spans="1:4">
      <c r="A412">
        <v>5</v>
      </c>
      <c r="B412" s="4" t="s">
        <v>473</v>
      </c>
      <c r="C412" s="4">
        <v>1.291</v>
      </c>
      <c r="D412" s="4">
        <v>3.515</v>
      </c>
    </row>
    <row r="413" spans="1:4">
      <c r="A413">
        <v>5</v>
      </c>
      <c r="B413" s="4" t="s">
        <v>474</v>
      </c>
      <c r="C413" s="4">
        <v>1.416</v>
      </c>
      <c r="D413" s="4">
        <v>3.896</v>
      </c>
    </row>
    <row r="414" spans="1:4">
      <c r="A414">
        <v>5</v>
      </c>
      <c r="B414" s="4" t="s">
        <v>475</v>
      </c>
      <c r="C414" s="4">
        <v>1.395</v>
      </c>
      <c r="D414" s="4">
        <v>3.925</v>
      </c>
    </row>
    <row r="415" spans="1:4">
      <c r="A415">
        <v>5</v>
      </c>
      <c r="B415" s="4" t="s">
        <v>476</v>
      </c>
      <c r="C415" s="4">
        <v>1.406</v>
      </c>
      <c r="D415" s="4">
        <v>3.962</v>
      </c>
    </row>
    <row r="416" spans="1:4">
      <c r="A416" s="5" t="s">
        <v>124</v>
      </c>
      <c r="C416">
        <f>SUBTOTAL(1,C412:C415)</f>
        <v>1.377</v>
      </c>
      <c r="D416">
        <f>SUBTOTAL(1,D412:D415)</f>
        <v>3.8245</v>
      </c>
    </row>
    <row r="417" spans="1:4">
      <c r="A417">
        <v>6</v>
      </c>
      <c r="B417" t="s">
        <v>477</v>
      </c>
      <c r="C417">
        <v>1.309</v>
      </c>
      <c r="D417">
        <v>3.556</v>
      </c>
    </row>
    <row r="418" spans="1:4">
      <c r="A418">
        <v>6</v>
      </c>
      <c r="B418" t="s">
        <v>478</v>
      </c>
      <c r="C418">
        <v>1.274</v>
      </c>
      <c r="D418">
        <v>3.832</v>
      </c>
    </row>
    <row r="419" spans="1:4">
      <c r="A419">
        <v>6</v>
      </c>
      <c r="B419" t="s">
        <v>479</v>
      </c>
      <c r="C419">
        <v>1.242</v>
      </c>
      <c r="D419">
        <v>3.89</v>
      </c>
    </row>
    <row r="420" spans="1:4">
      <c r="A420">
        <v>6</v>
      </c>
      <c r="B420" t="s">
        <v>480</v>
      </c>
      <c r="C420">
        <v>1.138</v>
      </c>
      <c r="D420">
        <v>3.745</v>
      </c>
    </row>
    <row r="421" spans="1:4">
      <c r="A421" s="5" t="s">
        <v>129</v>
      </c>
      <c r="C421">
        <f>SUBTOTAL(1,C417:C420)</f>
        <v>1.24075</v>
      </c>
      <c r="D421">
        <f>SUBTOTAL(1,D417:D420)</f>
        <v>3.75575</v>
      </c>
    </row>
    <row r="422" spans="1:4">
      <c r="A422">
        <v>7</v>
      </c>
      <c r="B422" s="4" t="s">
        <v>481</v>
      </c>
      <c r="C422" s="4">
        <v>1.216</v>
      </c>
      <c r="D422" s="4">
        <v>3.297</v>
      </c>
    </row>
    <row r="423" spans="1:4">
      <c r="A423">
        <v>7</v>
      </c>
      <c r="B423" s="4" t="s">
        <v>482</v>
      </c>
      <c r="C423" s="4">
        <v>1.05</v>
      </c>
      <c r="D423" s="4">
        <v>3.599</v>
      </c>
    </row>
    <row r="424" spans="1:4">
      <c r="A424">
        <v>7</v>
      </c>
      <c r="B424" s="4" t="s">
        <v>483</v>
      </c>
      <c r="C424" s="4">
        <v>1.134</v>
      </c>
      <c r="D424" s="4">
        <v>3.737</v>
      </c>
    </row>
    <row r="425" spans="1:4">
      <c r="A425">
        <v>7</v>
      </c>
      <c r="B425" s="4" t="s">
        <v>484</v>
      </c>
      <c r="C425" s="4">
        <v>1.123</v>
      </c>
      <c r="D425" s="4">
        <v>3.719</v>
      </c>
    </row>
    <row r="426" spans="1:4">
      <c r="A426" s="5" t="s">
        <v>134</v>
      </c>
      <c r="C426">
        <f>SUBTOTAL(1,C422:C425)</f>
        <v>1.13075</v>
      </c>
      <c r="D426">
        <f>SUBTOTAL(1,D422:D425)</f>
        <v>3.588</v>
      </c>
    </row>
    <row r="427" spans="1:4">
      <c r="A427">
        <v>8</v>
      </c>
      <c r="B427" t="s">
        <v>485</v>
      </c>
      <c r="C427">
        <v>1.139</v>
      </c>
      <c r="D427">
        <v>3.352</v>
      </c>
    </row>
    <row r="428" spans="1:4">
      <c r="A428">
        <v>8</v>
      </c>
      <c r="B428" t="s">
        <v>486</v>
      </c>
      <c r="C428">
        <v>1.171</v>
      </c>
      <c r="D428">
        <v>3.55</v>
      </c>
    </row>
    <row r="429" spans="1:4">
      <c r="A429">
        <v>8</v>
      </c>
      <c r="B429" t="s">
        <v>487</v>
      </c>
      <c r="C429">
        <v>1.065</v>
      </c>
      <c r="D429">
        <v>3.616</v>
      </c>
    </row>
    <row r="430" spans="1:4">
      <c r="A430">
        <v>8</v>
      </c>
      <c r="B430" t="s">
        <v>488</v>
      </c>
      <c r="C430">
        <v>1.129</v>
      </c>
      <c r="D430">
        <v>3.672</v>
      </c>
    </row>
    <row r="431" spans="1:4">
      <c r="A431" s="5" t="s">
        <v>139</v>
      </c>
      <c r="C431">
        <f>SUBTOTAL(1,C427:C430)</f>
        <v>1.126</v>
      </c>
      <c r="D431">
        <f>SUBTOTAL(1,D427:D430)</f>
        <v>3.5475</v>
      </c>
    </row>
    <row r="432" spans="1:4">
      <c r="A432">
        <v>9</v>
      </c>
      <c r="B432" s="4" t="s">
        <v>489</v>
      </c>
      <c r="C432" s="4">
        <v>0.915</v>
      </c>
      <c r="D432" s="4">
        <v>3.183</v>
      </c>
    </row>
    <row r="433" spans="1:4">
      <c r="A433">
        <v>9</v>
      </c>
      <c r="B433" s="4" t="s">
        <v>490</v>
      </c>
      <c r="C433" s="4">
        <v>0.968</v>
      </c>
      <c r="D433" s="4">
        <v>3.401</v>
      </c>
    </row>
    <row r="434" spans="1:4">
      <c r="A434" s="5" t="s">
        <v>144</v>
      </c>
      <c r="C434">
        <f>SUBTOTAL(1,C432:C433)</f>
        <v>0.9415</v>
      </c>
      <c r="D434">
        <f>SUBTOTAL(1,D432:D433)</f>
        <v>3.292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tabSelected="1" workbookViewId="0">
      <selection activeCell="N19" sqref="N19"/>
    </sheetView>
  </sheetViews>
  <sheetFormatPr defaultColWidth="8.88888888888889" defaultRowHeight="14.4" outlineLevelCol="2"/>
  <cols>
    <col min="2" max="3" width="12.8888888888889"/>
  </cols>
  <sheetData>
    <row r="1" ht="17.4" spans="1:3">
      <c r="A1" s="1" t="s">
        <v>491</v>
      </c>
      <c r="B1" s="2">
        <v>747</v>
      </c>
      <c r="C1" s="2">
        <v>633</v>
      </c>
    </row>
    <row r="2" spans="1:3">
      <c r="A2">
        <v>0</v>
      </c>
      <c r="B2">
        <v>7643.87892250661</v>
      </c>
      <c r="C2">
        <v>5579.80859653719</v>
      </c>
    </row>
    <row r="3" spans="1:3">
      <c r="A3">
        <v>36</v>
      </c>
      <c r="B3">
        <v>5537.05375033</v>
      </c>
      <c r="C3">
        <v>4989.58302811567</v>
      </c>
    </row>
    <row r="4" spans="1:3">
      <c r="A4">
        <v>59.5</v>
      </c>
      <c r="B4">
        <v>4992.23786088456</v>
      </c>
      <c r="C4">
        <v>4095.69236074614</v>
      </c>
    </row>
    <row r="5" spans="1:3">
      <c r="A5">
        <v>83.5</v>
      </c>
      <c r="B5">
        <v>4315.9456889605</v>
      </c>
      <c r="C5">
        <v>3626.78921350765</v>
      </c>
    </row>
    <row r="6" spans="1:3">
      <c r="A6">
        <v>107.5</v>
      </c>
      <c r="B6">
        <v>3326.19075167592</v>
      </c>
      <c r="C6">
        <v>2851.35501248677</v>
      </c>
    </row>
    <row r="7" spans="1:3">
      <c r="A7">
        <v>131.5</v>
      </c>
      <c r="B7">
        <v>2949.33352441806</v>
      </c>
      <c r="C7">
        <v>2425.84086920516</v>
      </c>
    </row>
    <row r="8" spans="1:3">
      <c r="A8">
        <v>155.5</v>
      </c>
      <c r="B8">
        <v>2547.40550743427</v>
      </c>
      <c r="C8">
        <v>2189.3742011774</v>
      </c>
    </row>
    <row r="9" spans="1:3">
      <c r="A9">
        <v>179.7</v>
      </c>
      <c r="B9">
        <v>2179.97595186561</v>
      </c>
      <c r="C9">
        <v>1770.56988696546</v>
      </c>
    </row>
    <row r="10" spans="1:3">
      <c r="A10">
        <v>203.7</v>
      </c>
      <c r="B10">
        <v>1913.77225828917</v>
      </c>
      <c r="C10">
        <v>1703.80427983987</v>
      </c>
    </row>
    <row r="11" spans="1:3">
      <c r="A11">
        <v>227.7</v>
      </c>
      <c r="B11">
        <v>1605.56653715068</v>
      </c>
      <c r="C11">
        <v>1410.69795872045</v>
      </c>
    </row>
    <row r="12" spans="1:3">
      <c r="A12">
        <v>251.7</v>
      </c>
      <c r="B12">
        <v>1426.5316886626</v>
      </c>
      <c r="C12">
        <v>1209.81156791364</v>
      </c>
    </row>
    <row r="13" spans="1:3">
      <c r="A13">
        <v>275.9</v>
      </c>
      <c r="B13">
        <v>1255.1095034811</v>
      </c>
      <c r="C13">
        <v>1101.94297198896</v>
      </c>
    </row>
    <row r="14" spans="1:3">
      <c r="A14">
        <v>299.9</v>
      </c>
      <c r="B14">
        <v>1068.95091224054</v>
      </c>
      <c r="C14">
        <v>929.754270586884</v>
      </c>
    </row>
    <row r="15" spans="1:3">
      <c r="A15">
        <v>398.4</v>
      </c>
      <c r="B15">
        <v>586.582290595605</v>
      </c>
      <c r="C15">
        <v>509.576062164109</v>
      </c>
    </row>
    <row r="16" spans="1:3">
      <c r="A16">
        <v>422.9</v>
      </c>
      <c r="B16">
        <v>513.721219074259</v>
      </c>
      <c r="C16">
        <v>447.471642896769</v>
      </c>
    </row>
    <row r="17" spans="1:3">
      <c r="A17">
        <v>446.9</v>
      </c>
      <c r="B17">
        <v>404.504896908865</v>
      </c>
      <c r="C17">
        <v>377.716527752</v>
      </c>
    </row>
    <row r="18" spans="1:3">
      <c r="A18">
        <v>254.7</v>
      </c>
      <c r="B18">
        <v>1383.7848083082</v>
      </c>
      <c r="C18">
        <v>1260.46035632693</v>
      </c>
    </row>
    <row r="19" spans="1:3">
      <c r="A19">
        <v>275.7</v>
      </c>
      <c r="B19">
        <v>1302.28182137893</v>
      </c>
      <c r="C19">
        <v>1136.61796958885</v>
      </c>
    </row>
    <row r="20" spans="1:3">
      <c r="A20">
        <v>300.2</v>
      </c>
      <c r="B20">
        <v>1088.27004379366</v>
      </c>
      <c r="C20">
        <v>928.234882096701</v>
      </c>
    </row>
    <row r="21" spans="1:3">
      <c r="A21">
        <v>321.7</v>
      </c>
      <c r="B21">
        <v>915.215010401526</v>
      </c>
      <c r="C21">
        <v>836.475285598045</v>
      </c>
    </row>
    <row r="22" spans="1:3">
      <c r="A22">
        <v>345.7</v>
      </c>
      <c r="B22">
        <v>785.261599545481</v>
      </c>
      <c r="C22">
        <v>686.18080085851</v>
      </c>
    </row>
    <row r="23" spans="1:3">
      <c r="A23">
        <v>369.7</v>
      </c>
      <c r="B23">
        <v>662.099412491365</v>
      </c>
      <c r="C23">
        <v>601.138712399546</v>
      </c>
    </row>
    <row r="24" spans="1:3">
      <c r="A24">
        <v>393.7</v>
      </c>
      <c r="B24">
        <v>570.267585540303</v>
      </c>
      <c r="C24">
        <v>507.69000344418</v>
      </c>
    </row>
    <row r="25" spans="1:3">
      <c r="A25">
        <v>417.7</v>
      </c>
      <c r="B25">
        <v>496.514482305305</v>
      </c>
      <c r="C25">
        <v>426.132534041467</v>
      </c>
    </row>
    <row r="26" spans="1:3">
      <c r="A26">
        <v>441.7</v>
      </c>
      <c r="B26">
        <v>418.911686044373</v>
      </c>
      <c r="C26">
        <v>370.045644950077</v>
      </c>
    </row>
    <row r="27" spans="1:3">
      <c r="A27">
        <v>465.7</v>
      </c>
      <c r="B27">
        <v>348.552504096269</v>
      </c>
      <c r="C27">
        <v>310.450585854698</v>
      </c>
    </row>
    <row r="28" spans="1:3">
      <c r="A28">
        <v>490.7</v>
      </c>
      <c r="B28">
        <v>294.97802271467</v>
      </c>
      <c r="C28">
        <v>263.236156707704</v>
      </c>
    </row>
    <row r="29" spans="1:3">
      <c r="A29">
        <v>514.7</v>
      </c>
      <c r="B29">
        <v>247.163294476013</v>
      </c>
      <c r="C29">
        <v>228.218011298571</v>
      </c>
    </row>
    <row r="30" spans="1:3">
      <c r="A30">
        <v>538.7</v>
      </c>
      <c r="B30">
        <v>221.307798329139</v>
      </c>
      <c r="C30">
        <v>201.307902413175</v>
      </c>
    </row>
    <row r="31" spans="1:3">
      <c r="A31">
        <v>564.7</v>
      </c>
      <c r="B31">
        <v>185.305197233037</v>
      </c>
      <c r="C31">
        <v>168.682877916335</v>
      </c>
    </row>
    <row r="32" spans="1:3">
      <c r="A32">
        <v>590.7</v>
      </c>
      <c r="B32">
        <v>153.38386265795</v>
      </c>
      <c r="C32">
        <v>143.994442474889</v>
      </c>
    </row>
    <row r="33" spans="1:3">
      <c r="A33">
        <v>612.7</v>
      </c>
      <c r="B33">
        <v>136.683185506706</v>
      </c>
      <c r="C33">
        <v>126.892557507638</v>
      </c>
    </row>
    <row r="34" spans="1:3">
      <c r="A34">
        <v>634.7</v>
      </c>
      <c r="B34">
        <v>116.652463968809</v>
      </c>
      <c r="C34">
        <v>108.93343519867</v>
      </c>
    </row>
    <row r="35" spans="1:3">
      <c r="A35">
        <v>658.7</v>
      </c>
      <c r="B35">
        <v>103.332286422198</v>
      </c>
      <c r="C35">
        <v>95.0247593293138</v>
      </c>
    </row>
    <row r="36" spans="1:3">
      <c r="A36">
        <v>541.7</v>
      </c>
      <c r="B36">
        <v>213.8574713309</v>
      </c>
      <c r="C36">
        <v>195.735390323979</v>
      </c>
    </row>
    <row r="37" spans="1:3">
      <c r="A37">
        <v>562.7</v>
      </c>
      <c r="B37">
        <v>187.335276390785</v>
      </c>
      <c r="C37">
        <v>171.021133550395</v>
      </c>
    </row>
    <row r="38" spans="1:3">
      <c r="A38">
        <v>588.7</v>
      </c>
      <c r="B38">
        <v>160.286590285537</v>
      </c>
      <c r="C38">
        <v>145.174319384801</v>
      </c>
    </row>
    <row r="39" spans="1:3">
      <c r="A39">
        <v>612.7</v>
      </c>
      <c r="B39">
        <v>138.195020996607</v>
      </c>
      <c r="C39">
        <v>128.493934637576</v>
      </c>
    </row>
    <row r="40" spans="1:3">
      <c r="A40">
        <v>636.7</v>
      </c>
      <c r="B40">
        <v>115.761637443546</v>
      </c>
      <c r="C40">
        <v>108.846381986139</v>
      </c>
    </row>
    <row r="41" spans="1:3">
      <c r="A41">
        <v>657.7</v>
      </c>
      <c r="B41">
        <v>100.674830610092</v>
      </c>
      <c r="C41">
        <v>94.4360793799143</v>
      </c>
    </row>
    <row r="42" spans="1:3">
      <c r="A42">
        <v>684.7</v>
      </c>
      <c r="B42">
        <v>84.9497544872178</v>
      </c>
      <c r="C42">
        <v>81.3040433038527</v>
      </c>
    </row>
    <row r="43" spans="1:3">
      <c r="A43">
        <v>706.7</v>
      </c>
      <c r="B43">
        <v>73.023514617371</v>
      </c>
      <c r="C43">
        <v>70.1374248071991</v>
      </c>
    </row>
    <row r="44" spans="1:3">
      <c r="A44">
        <v>729.7</v>
      </c>
      <c r="B44">
        <v>64.0206056921072</v>
      </c>
      <c r="C44">
        <v>60.1192469798198</v>
      </c>
    </row>
    <row r="45" spans="1:3">
      <c r="A45">
        <v>754.7</v>
      </c>
      <c r="B45">
        <v>55.3431313058377</v>
      </c>
      <c r="C45">
        <v>53.1325060704504</v>
      </c>
    </row>
    <row r="46" spans="1:3">
      <c r="A46">
        <v>777.7</v>
      </c>
      <c r="B46">
        <v>47.1525487492029</v>
      </c>
      <c r="C46">
        <v>46.0374645137837</v>
      </c>
    </row>
    <row r="47" spans="1:3">
      <c r="A47">
        <v>801.7</v>
      </c>
      <c r="B47">
        <v>39.9728292296211</v>
      </c>
      <c r="C47">
        <v>39.2305296621017</v>
      </c>
    </row>
    <row r="48" spans="1:3">
      <c r="A48">
        <v>827.7</v>
      </c>
      <c r="B48">
        <v>34.7435569802506</v>
      </c>
      <c r="C48">
        <v>33.6935824122782</v>
      </c>
    </row>
    <row r="49" spans="1:3">
      <c r="A49">
        <v>853.7</v>
      </c>
      <c r="B49">
        <v>29.17571041238</v>
      </c>
      <c r="C49">
        <v>29.6153823296481</v>
      </c>
    </row>
    <row r="50" spans="1:3">
      <c r="A50">
        <v>873.7</v>
      </c>
      <c r="B50">
        <v>26.2921588002736</v>
      </c>
      <c r="C50">
        <v>26.8485644903971</v>
      </c>
    </row>
    <row r="51" spans="1:3">
      <c r="A51">
        <v>897.7</v>
      </c>
      <c r="B51">
        <v>21.8906926597718</v>
      </c>
      <c r="C51">
        <v>22.5435217722329</v>
      </c>
    </row>
    <row r="52" spans="1:3">
      <c r="A52">
        <v>922.7</v>
      </c>
      <c r="B52">
        <v>18.7349856146127</v>
      </c>
      <c r="C52">
        <v>20.3380152720042</v>
      </c>
    </row>
    <row r="53" spans="1:3">
      <c r="A53">
        <v>945.7</v>
      </c>
      <c r="B53">
        <v>16.5528822317434</v>
      </c>
      <c r="C53">
        <v>17.9172566358673</v>
      </c>
    </row>
    <row r="54" spans="1:3">
      <c r="A54">
        <v>971.7</v>
      </c>
      <c r="B54">
        <v>13.8734471944265</v>
      </c>
      <c r="C54">
        <v>16.1058271229166</v>
      </c>
    </row>
    <row r="55" spans="1:3">
      <c r="A55">
        <v>898.7</v>
      </c>
      <c r="B55">
        <v>22.1260394851039</v>
      </c>
      <c r="C55">
        <v>23.1399178263022</v>
      </c>
    </row>
    <row r="56" spans="1:3">
      <c r="A56">
        <v>921.7</v>
      </c>
      <c r="B56">
        <v>18.426072788188</v>
      </c>
      <c r="C56">
        <v>20.5430339702947</v>
      </c>
    </row>
    <row r="57" spans="1:3">
      <c r="A57">
        <v>947.7</v>
      </c>
      <c r="B57">
        <v>16.399280711616</v>
      </c>
      <c r="C57">
        <v>17.7221514655437</v>
      </c>
    </row>
    <row r="58" spans="1:3">
      <c r="A58">
        <v>969.7</v>
      </c>
      <c r="B58">
        <v>14.0817847139729</v>
      </c>
      <c r="C58">
        <v>15.6927665784821</v>
      </c>
    </row>
    <row r="59" spans="1:3">
      <c r="A59">
        <v>994.7</v>
      </c>
      <c r="B59">
        <v>12.2117341172321</v>
      </c>
      <c r="C59">
        <v>14.2662488680628</v>
      </c>
    </row>
    <row r="60" spans="1:3">
      <c r="A60">
        <v>1022.7</v>
      </c>
      <c r="B60">
        <v>10.1214861474411</v>
      </c>
      <c r="C60">
        <v>12.545531975442</v>
      </c>
    </row>
    <row r="61" spans="1:3">
      <c r="A61">
        <v>1043.7</v>
      </c>
      <c r="B61">
        <v>9.00694033064811</v>
      </c>
      <c r="C61">
        <v>11.4405434258986</v>
      </c>
    </row>
    <row r="62" spans="1:3">
      <c r="A62">
        <v>1067.7</v>
      </c>
      <c r="B62">
        <v>7.70528098256866</v>
      </c>
      <c r="C62">
        <v>10.3725307298559</v>
      </c>
    </row>
    <row r="63" spans="1:3">
      <c r="A63">
        <v>1092.7</v>
      </c>
      <c r="B63">
        <v>6.9913569873512</v>
      </c>
      <c r="C63">
        <v>9.56156273520227</v>
      </c>
    </row>
    <row r="64" spans="1:3">
      <c r="A64">
        <v>1115.7</v>
      </c>
      <c r="B64">
        <v>5.77123213454727</v>
      </c>
      <c r="C64">
        <v>8.42245636914366</v>
      </c>
    </row>
    <row r="65" spans="1:3">
      <c r="A65">
        <v>1139.7</v>
      </c>
      <c r="B65">
        <v>4.94847495494872</v>
      </c>
      <c r="C65">
        <v>7.72848926358655</v>
      </c>
    </row>
    <row r="66" spans="1:3">
      <c r="A66">
        <v>1068.7</v>
      </c>
      <c r="B66">
        <v>7.756</v>
      </c>
      <c r="C66">
        <v>10.327</v>
      </c>
    </row>
    <row r="67" spans="1:3">
      <c r="A67">
        <v>1090.7</v>
      </c>
      <c r="B67">
        <v>6.76275</v>
      </c>
      <c r="C67">
        <v>9.30775</v>
      </c>
    </row>
    <row r="68" spans="1:3">
      <c r="A68">
        <v>1116.7</v>
      </c>
      <c r="B68">
        <v>5.705</v>
      </c>
      <c r="C68">
        <v>8.5405</v>
      </c>
    </row>
    <row r="69" spans="1:3">
      <c r="A69">
        <v>1138.7</v>
      </c>
      <c r="B69">
        <v>5.1345</v>
      </c>
      <c r="C69">
        <v>7.85925</v>
      </c>
    </row>
    <row r="70" spans="1:3">
      <c r="A70">
        <v>1163.7</v>
      </c>
      <c r="B70">
        <v>4.424</v>
      </c>
      <c r="C70">
        <v>7.193</v>
      </c>
    </row>
    <row r="71" spans="1:3">
      <c r="A71">
        <v>1187.7</v>
      </c>
      <c r="B71">
        <v>3.9295</v>
      </c>
      <c r="C71">
        <v>6.66325</v>
      </c>
    </row>
    <row r="72" spans="1:3">
      <c r="A72">
        <v>1211.7</v>
      </c>
      <c r="B72">
        <v>3.49725</v>
      </c>
      <c r="C72">
        <v>6.15925</v>
      </c>
    </row>
    <row r="73" spans="1:3">
      <c r="A73">
        <v>1235.7</v>
      </c>
      <c r="B73">
        <v>3.02333333333333</v>
      </c>
      <c r="C73">
        <v>5.84833333333333</v>
      </c>
    </row>
    <row r="74" spans="1:3">
      <c r="A74">
        <v>1259.7</v>
      </c>
      <c r="B74">
        <v>2.60857142857143</v>
      </c>
      <c r="C74">
        <v>5.33571428571429</v>
      </c>
    </row>
    <row r="75" spans="1:3">
      <c r="A75">
        <v>1284.7</v>
      </c>
      <c r="B75">
        <v>2.2495</v>
      </c>
      <c r="C75">
        <v>4.91725</v>
      </c>
    </row>
    <row r="76" spans="1:3">
      <c r="A76">
        <v>1308.7</v>
      </c>
      <c r="B76">
        <v>1.998</v>
      </c>
      <c r="C76">
        <v>4.61325</v>
      </c>
    </row>
    <row r="77" spans="1:3">
      <c r="A77">
        <v>1333.7</v>
      </c>
      <c r="B77">
        <v>1.773</v>
      </c>
      <c r="C77">
        <v>4.39075</v>
      </c>
    </row>
    <row r="78" spans="1:3">
      <c r="A78">
        <v>1361.7</v>
      </c>
      <c r="B78">
        <v>1.605</v>
      </c>
      <c r="C78">
        <v>4.22525</v>
      </c>
    </row>
    <row r="79" spans="1:3">
      <c r="A79">
        <v>1375.7</v>
      </c>
      <c r="B79">
        <v>1.5395</v>
      </c>
      <c r="C79">
        <v>4.088</v>
      </c>
    </row>
    <row r="80" spans="1:3">
      <c r="A80">
        <v>1411.7</v>
      </c>
      <c r="B80">
        <v>1.377</v>
      </c>
      <c r="C80">
        <v>3.8245</v>
      </c>
    </row>
    <row r="81" spans="1:3">
      <c r="A81">
        <v>1430.7</v>
      </c>
      <c r="B81">
        <v>1.24075</v>
      </c>
      <c r="C81">
        <v>3.75575</v>
      </c>
    </row>
    <row r="82" spans="1:3">
      <c r="A82">
        <v>1460.7</v>
      </c>
      <c r="B82">
        <v>1.13075</v>
      </c>
      <c r="C82">
        <v>3.588</v>
      </c>
    </row>
    <row r="83" spans="1:3">
      <c r="A83">
        <v>1471.7</v>
      </c>
      <c r="B83">
        <v>1.126</v>
      </c>
      <c r="C83">
        <v>3.5475</v>
      </c>
    </row>
    <row r="84" spans="1:3">
      <c r="A84">
        <v>1505.7</v>
      </c>
      <c r="B84">
        <v>0.9415</v>
      </c>
      <c r="C84">
        <v>3.292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修正前伽马谱</vt:lpstr>
      <vt:lpstr>修正后伽马谱</vt:lpstr>
      <vt:lpstr>原始数据</vt:lpstr>
      <vt:lpstr>原始数据修正后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谢东霖</dc:creator>
  <cp:lastModifiedBy>七月流火</cp:lastModifiedBy>
  <dcterms:created xsi:type="dcterms:W3CDTF">2023-05-12T11:15:00Z</dcterms:created>
  <dcterms:modified xsi:type="dcterms:W3CDTF">2025-12-25T08:28:58Z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6CDDB6D31FA24A50AD1A2C0F70B6685E_12</vt:lpwstr>
  </property>
  <property fmtid="{D5CDD505-2E9C-101B-9397-08002B2CF9AE}" pid="4" name="CalculationRule">
    <vt:i4>0</vt:i4>
  </property>
</Properties>
</file>