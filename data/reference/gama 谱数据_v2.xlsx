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firstSheet="1" activeTab="2"/>
  </bookViews>
  <sheets>
    <sheet name="原始数据" sheetId="11" r:id="rId1"/>
    <sheet name="修正后伽马谱 (1)" sheetId="8" r:id="rId2"/>
    <sheet name="修正后伽马谱 (5)" sheetId="15" r:id="rId3"/>
    <sheet name="修正后伽马谱 (2)" sheetId="12" r:id="rId4"/>
    <sheet name="修正后伽马谱 (3)" sheetId="13" r:id="rId5"/>
    <sheet name="修正后伽马谱 (4)" sheetId="14" r:id="rId6"/>
    <sheet name="原始数据修正后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<sst xmlns="http://schemas.openxmlformats.org/spreadsheetml/2006/main" count="918" uniqueCount="432">
  <si>
    <t>10.18_1_with Pb...</t>
  </si>
  <si>
    <t>10.20_1_with Pb...</t>
  </si>
  <si>
    <t>10.21_1_with Pb...</t>
  </si>
  <si>
    <t>10.22_1_with Pb...</t>
  </si>
  <si>
    <t>10.23_1_with Pb...</t>
  </si>
  <si>
    <t>10.24_1_with Pb...</t>
  </si>
  <si>
    <t>10.25_1_with Pb...</t>
  </si>
  <si>
    <t>10.26_1_with Pb...</t>
  </si>
  <si>
    <t>10.27_1_with Pb...</t>
  </si>
  <si>
    <t>10.28_1_with Pb...</t>
  </si>
  <si>
    <t>10.29_1_with Pb...</t>
  </si>
  <si>
    <t>10.30_1_with Pb...</t>
  </si>
  <si>
    <t>10.31_1_with Pb...</t>
  </si>
  <si>
    <t>10.29_1_with Cu...</t>
  </si>
  <si>
    <t>10.30_1_with Cu...</t>
  </si>
  <si>
    <t>10.31_1_with Cu...</t>
  </si>
  <si>
    <t>11.01_1_with Cu...</t>
  </si>
  <si>
    <t>11.02_1_with Cu...</t>
  </si>
  <si>
    <t>11.03_1_with Cu...</t>
  </si>
  <si>
    <t>11.04_1_with Cu...</t>
  </si>
  <si>
    <t>11.05_1_with Cu...</t>
  </si>
  <si>
    <t>11.06_1_with Cu...</t>
  </si>
  <si>
    <t>11.07_1_with Cu...</t>
  </si>
  <si>
    <t>11.08_1_with Cu...</t>
  </si>
  <si>
    <t>11.09_1_with Cu...</t>
  </si>
  <si>
    <t>11.10_1_with Cu...</t>
  </si>
  <si>
    <t>11.11_1_with Cu...</t>
  </si>
  <si>
    <t>11.12_1_with Cu...</t>
  </si>
  <si>
    <t>11.13_1_with Cu...</t>
  </si>
  <si>
    <t>11.14_1_with Cu...</t>
  </si>
  <si>
    <t>11.15_1_with Cu...</t>
  </si>
  <si>
    <t>11.10_1_with 12...</t>
  </si>
  <si>
    <t>11.11_1_with 12...</t>
  </si>
  <si>
    <t>11.12_1_with 12...</t>
  </si>
  <si>
    <t>11.13_1_with 12...</t>
  </si>
  <si>
    <t>11.14_1_with 12...</t>
  </si>
  <si>
    <t>11.15_1_with 12...</t>
  </si>
  <si>
    <t>11.16_1_with 12...</t>
  </si>
  <si>
    <t>11.17_1_with 12...</t>
  </si>
  <si>
    <t>11.18_1_with 12...</t>
  </si>
  <si>
    <t>11.19_1_with 12...</t>
  </si>
  <si>
    <t>11.20_1_with 12...</t>
  </si>
  <si>
    <t>11.21_1_with 12...</t>
  </si>
  <si>
    <t>11.22_1_with 12...</t>
  </si>
  <si>
    <t>11.23_1_with 12...</t>
  </si>
  <si>
    <t>11.24_1_with 12...</t>
  </si>
  <si>
    <t>11.25_1_with 12...</t>
  </si>
  <si>
    <t>11.26_1_with 12...</t>
  </si>
  <si>
    <t>11.27_1_with 12...</t>
  </si>
  <si>
    <t>11.28_1_with 12...</t>
  </si>
  <si>
    <t>11.25_1_with 0....</t>
  </si>
  <si>
    <t>11.26_1_with 0....</t>
  </si>
  <si>
    <t>11.27_1_with 0....</t>
  </si>
  <si>
    <t>11.28_1_with 0....</t>
  </si>
  <si>
    <t>11.29_1_with 0....</t>
  </si>
  <si>
    <t>11.30_1_with 0....</t>
  </si>
  <si>
    <t>12.01_1_with 0....</t>
  </si>
  <si>
    <t>12.02_1_with 0....</t>
  </si>
  <si>
    <t>12.03_1_with 0....</t>
  </si>
  <si>
    <t>12.04_1_with 0....</t>
  </si>
  <si>
    <t>12.05_1_with 0....</t>
  </si>
  <si>
    <t>12.02_1_with 0_...</t>
  </si>
  <si>
    <t>12.03_1_with 0_...</t>
  </si>
  <si>
    <t>12.04_1_with 0_...</t>
  </si>
  <si>
    <t>12.05_1_with 0_...</t>
  </si>
  <si>
    <t>12.06_1_with 0_...</t>
  </si>
  <si>
    <t>12.07_1_with 0_...</t>
  </si>
  <si>
    <t>12.08_1_with 0_...</t>
  </si>
  <si>
    <t>12.09_1_with 0_...</t>
  </si>
  <si>
    <t>12.10_1_with 0_...</t>
  </si>
  <si>
    <t>12.10_1_with 1_...</t>
  </si>
  <si>
    <t>12.11_1_with 1_...</t>
  </si>
  <si>
    <t>12.12_1_with 1_...</t>
  </si>
  <si>
    <t>12.13_1_with 1_...</t>
  </si>
  <si>
    <t>12.14_1_with 1_...</t>
  </si>
  <si>
    <t>12.15_1_with 1_...</t>
  </si>
  <si>
    <t>12.16_1_with 1_...</t>
  </si>
  <si>
    <t>12.17_1_with 1_...</t>
  </si>
  <si>
    <t>12.18_1_with 1_...</t>
  </si>
  <si>
    <t>12.19_1_with 1_...</t>
  </si>
  <si>
    <t>12.20_1_with 1_...</t>
  </si>
  <si>
    <t>10.18_2_with Pb...</t>
  </si>
  <si>
    <t>10.20_2_with Pb...</t>
  </si>
  <si>
    <t>10.21_2_with Pb...</t>
  </si>
  <si>
    <t>10.22_2_with Pb...</t>
  </si>
  <si>
    <t>10.23_2_with Pb...</t>
  </si>
  <si>
    <t>10.24_2_with Pb...</t>
  </si>
  <si>
    <t>10.25_2_with Pb...</t>
  </si>
  <si>
    <t>10.26_2_with Pb...</t>
  </si>
  <si>
    <t>10.27_2_with Pb...</t>
  </si>
  <si>
    <t>10.28_2_with Pb...</t>
  </si>
  <si>
    <t>10.29_2_with Pb...</t>
  </si>
  <si>
    <t>10.30_2_with Pb...</t>
  </si>
  <si>
    <t>10.31_2_with Pb...</t>
  </si>
  <si>
    <t>10.29_2_with Cu...</t>
  </si>
  <si>
    <t>10.30_2_with Cu...</t>
  </si>
  <si>
    <t>10.31_2_with Cu...</t>
  </si>
  <si>
    <t>11.01_2_with Cu...</t>
  </si>
  <si>
    <t>11.02_2_with Cu...</t>
  </si>
  <si>
    <t>11.03_2_with Cu...</t>
  </si>
  <si>
    <t>11.04_2_with Cu...</t>
  </si>
  <si>
    <t>11.05_2_with Cu...</t>
  </si>
  <si>
    <t>11.06_2_with Cu...</t>
  </si>
  <si>
    <t>11.07_2_with Cu...</t>
  </si>
  <si>
    <t>11.08_2_with Cu...</t>
  </si>
  <si>
    <t>11.09_2_with Cu...</t>
  </si>
  <si>
    <t>11.10_2_with Cu...</t>
  </si>
  <si>
    <t>11.11_2_with Cu...</t>
  </si>
  <si>
    <t>11.12_2_with Cu...</t>
  </si>
  <si>
    <t>11.13_2_with Cu...</t>
  </si>
  <si>
    <t>11.14_2_with Cu...</t>
  </si>
  <si>
    <t>11.15_2_with Cu...</t>
  </si>
  <si>
    <t>11.10_2_with 12...</t>
  </si>
  <si>
    <t>11.11_2_with 12...</t>
  </si>
  <si>
    <t>11.12_2_with 12...</t>
  </si>
  <si>
    <t>11.13_2_with 12...</t>
  </si>
  <si>
    <t>11.14_2_with 12...</t>
  </si>
  <si>
    <t>11.15_2_with 12...</t>
  </si>
  <si>
    <t>11.16_2_with 12...</t>
  </si>
  <si>
    <t>11.17_2_with 12...</t>
  </si>
  <si>
    <t>11.18_2_with 12...</t>
  </si>
  <si>
    <t>11.19_2_with 12...</t>
  </si>
  <si>
    <t>11.20_2_with 12...</t>
  </si>
  <si>
    <t>11.21_2_with 12...</t>
  </si>
  <si>
    <t>11.22_2_with 12...</t>
  </si>
  <si>
    <t>11.23_2_with 12...</t>
  </si>
  <si>
    <t>11.24_2_with 12...</t>
  </si>
  <si>
    <t>11.25_2_with 12...</t>
  </si>
  <si>
    <t>11.26_2_with 12...</t>
  </si>
  <si>
    <t>11.27_2_with 12...</t>
  </si>
  <si>
    <t>11.28_2_with 12...</t>
  </si>
  <si>
    <t>11.25_2_with 0....</t>
  </si>
  <si>
    <t>11.26_2_with 0....</t>
  </si>
  <si>
    <t>11.27_2_with 0....</t>
  </si>
  <si>
    <t>11.28_2_with 0....</t>
  </si>
  <si>
    <t>11.29_2_with 0....</t>
  </si>
  <si>
    <t>11.30_2_with 0....</t>
  </si>
  <si>
    <t>12.01_2_with 0....</t>
  </si>
  <si>
    <t>12.02_2_with 0....</t>
  </si>
  <si>
    <t>12.03_2_with 0....</t>
  </si>
  <si>
    <t>12.04_2_with 0....</t>
  </si>
  <si>
    <t>12.05_2_with 0....</t>
  </si>
  <si>
    <t>12.02_2_with 0_...</t>
  </si>
  <si>
    <t>12.03_2_with 0_...</t>
  </si>
  <si>
    <t>12.04_2_with 0_...</t>
  </si>
  <si>
    <t>12.05_2_with 0_...</t>
  </si>
  <si>
    <t>12.06_2_with 0_...</t>
  </si>
  <si>
    <t>12.07_2_with 0_...</t>
  </si>
  <si>
    <t>12.08_2_with 0_...</t>
  </si>
  <si>
    <t>12.09_2_with 0_...</t>
  </si>
  <si>
    <t>12.10_2_with 0_...</t>
  </si>
  <si>
    <t>12.11_2_with 1_...</t>
  </si>
  <si>
    <t>12.12_2_with 1_...</t>
  </si>
  <si>
    <t>12.13_2_with 1_...</t>
  </si>
  <si>
    <t>12.14_2_with 1_...</t>
  </si>
  <si>
    <t>12.15_2_with 1_...</t>
  </si>
  <si>
    <t>12.16_2_with 1_...</t>
  </si>
  <si>
    <t>12.17_2_with 1_...</t>
  </si>
  <si>
    <t>12.18_2_with 1_...</t>
  </si>
  <si>
    <t>12.19_2_with 1_...</t>
  </si>
  <si>
    <t>12.20_2_with 1_...</t>
  </si>
  <si>
    <t>10.18_3_with Pb...</t>
  </si>
  <si>
    <t>10.20_3_with Pb...</t>
  </si>
  <si>
    <t>10.21_3_with Pb...</t>
  </si>
  <si>
    <t>10.22_3_with Pb...</t>
  </si>
  <si>
    <t>10.23_3_with Pb...</t>
  </si>
  <si>
    <t>10.24_3_with Pb...</t>
  </si>
  <si>
    <t>10.25_3_with Pb...</t>
  </si>
  <si>
    <t>10.26_3_with Pb...</t>
  </si>
  <si>
    <t>10.27_3_with Pb...</t>
  </si>
  <si>
    <t>10.28_3_with Pb...</t>
  </si>
  <si>
    <t>10.29_3_with Pb...</t>
  </si>
  <si>
    <t>10.30_3_with Pb...</t>
  </si>
  <si>
    <t>10.31_3_with Pb...</t>
  </si>
  <si>
    <t>10.29_3_with Cu...</t>
  </si>
  <si>
    <t>10.30_3_with Cu...</t>
  </si>
  <si>
    <t>10.31_3_with Cu...</t>
  </si>
  <si>
    <t>11.01_3_with Cu...</t>
  </si>
  <si>
    <t>11.03_3_with Cu...</t>
  </si>
  <si>
    <t>11.04_3_with Pb...</t>
  </si>
  <si>
    <t>11.05_3_with Pb...</t>
  </si>
  <si>
    <t>11.06_3_with Pb...</t>
  </si>
  <si>
    <t>11.04_3_with Cu...</t>
  </si>
  <si>
    <t>11.05_3_with Cu...</t>
  </si>
  <si>
    <t>11.06_3_with Cu...</t>
  </si>
  <si>
    <t>11.07_3_with Cu...</t>
  </si>
  <si>
    <t>11.08_3_with Cu...</t>
  </si>
  <si>
    <t>11.09_3_with Cu...</t>
  </si>
  <si>
    <t>11.10_3_with Cu...</t>
  </si>
  <si>
    <t>11.11_3_with Cu...</t>
  </si>
  <si>
    <t>11.12_3_with Cu...</t>
  </si>
  <si>
    <t>11.13_3_with Cu...</t>
  </si>
  <si>
    <t>11.14_3_with Cu...</t>
  </si>
  <si>
    <t>11.15_3_with Cu...</t>
  </si>
  <si>
    <t>11.10_3_with 12...</t>
  </si>
  <si>
    <t>11.11_3_with 12...</t>
  </si>
  <si>
    <t>11.12_3_with 12...</t>
  </si>
  <si>
    <t>11.13_3_with 12...</t>
  </si>
  <si>
    <t>11.14_3_with 12...</t>
  </si>
  <si>
    <t>11.15_3_with 12...</t>
  </si>
  <si>
    <t>11.16_3_with 12...</t>
  </si>
  <si>
    <t>11.17_3_with 12...</t>
  </si>
  <si>
    <t>11.18_3_with 12...</t>
  </si>
  <si>
    <t>11.19_3_with 12...</t>
  </si>
  <si>
    <t>11.20_3_with 12...</t>
  </si>
  <si>
    <t>11.21_3_with 12...</t>
  </si>
  <si>
    <t>11.22_3_with 12...</t>
  </si>
  <si>
    <t>11.23_3_with 12...</t>
  </si>
  <si>
    <t>11.24_3_with 12...</t>
  </si>
  <si>
    <t>11.25_3_with 12...</t>
  </si>
  <si>
    <t>11.26_3_with 12...</t>
  </si>
  <si>
    <t>11.27_3_with 12...</t>
  </si>
  <si>
    <t>11.28_3_with 12...</t>
  </si>
  <si>
    <t>11.25_3_with 0....</t>
  </si>
  <si>
    <t>11.26_3_with 0....</t>
  </si>
  <si>
    <t>11.27_3_with 0....</t>
  </si>
  <si>
    <t>11.28_3_with 0....</t>
  </si>
  <si>
    <t>11.29_3_with 0....</t>
  </si>
  <si>
    <t>11.30_3_with 0....</t>
  </si>
  <si>
    <t>12.01_3_with 0....</t>
  </si>
  <si>
    <t>12.02_3_with 0....</t>
  </si>
  <si>
    <t>12.03_3_with 0....</t>
  </si>
  <si>
    <t>12.04_3_with 0....</t>
  </si>
  <si>
    <t>12.05_3_with 0....</t>
  </si>
  <si>
    <t>12.02_3_with 0_...</t>
  </si>
  <si>
    <t>12.03_3_with 0_...</t>
  </si>
  <si>
    <t>12.04_3_with 0_...</t>
  </si>
  <si>
    <t>12.05_3_with 0_...</t>
  </si>
  <si>
    <t>12.06_3_with 0_...</t>
  </si>
  <si>
    <t>12.07_3_with 0_...</t>
  </si>
  <si>
    <t>12.08_3_with 0_...</t>
  </si>
  <si>
    <t>12.09_3_with 0_...</t>
  </si>
  <si>
    <t>12.10_3_with 0_...</t>
  </si>
  <si>
    <t>12.11_3_with 1_...</t>
  </si>
  <si>
    <t>12.12_3_with 1_...</t>
  </si>
  <si>
    <t>12.13_3_with 1_...</t>
  </si>
  <si>
    <t>12.14_3_with 1_...</t>
  </si>
  <si>
    <t>12.15_3_with 1_...</t>
  </si>
  <si>
    <t>12.16_3_with 1_...</t>
  </si>
  <si>
    <t>12.17_3_with 1_...</t>
  </si>
  <si>
    <t>12.18_3_with 1_...</t>
  </si>
  <si>
    <t>12.19_3_with 1_...</t>
  </si>
  <si>
    <t>10.18_4_with Pb...</t>
  </si>
  <si>
    <t>10.20_4_with Pb...</t>
  </si>
  <si>
    <t>10.21_4_with Pb...</t>
  </si>
  <si>
    <t>10.22_4_with Pb...</t>
  </si>
  <si>
    <t>10.23_4_with Pb...</t>
  </si>
  <si>
    <t>10.24_4_with Pb...</t>
  </si>
  <si>
    <t>10.25_4_with Pb...</t>
  </si>
  <si>
    <t>10.26_4_with Pb...</t>
  </si>
  <si>
    <t>10.27_4_with Pb...</t>
  </si>
  <si>
    <t>10.28_4_with Pb...</t>
  </si>
  <si>
    <t>10.29_4_with Pb...</t>
  </si>
  <si>
    <t>10.30_4_with Pb...</t>
  </si>
  <si>
    <t>10.31_4_with Pb...</t>
  </si>
  <si>
    <t>10.29_4_with Cu...</t>
  </si>
  <si>
    <t>10.30_4_with Cu...</t>
  </si>
  <si>
    <t>10.31_4_with Cu...</t>
  </si>
  <si>
    <t>11.01_4_with Cu...</t>
  </si>
  <si>
    <t>11.02_4_with Cu...</t>
  </si>
  <si>
    <t>11.03_4_with Cu...</t>
  </si>
  <si>
    <t>11.04_4_with Cu...</t>
  </si>
  <si>
    <t>11.04_4_with Pb...</t>
  </si>
  <si>
    <t>11.05_4_with Pb...</t>
  </si>
  <si>
    <t>11.06_4_with Pb...</t>
  </si>
  <si>
    <t>11.05_4_with Cu...</t>
  </si>
  <si>
    <t>11.06_4_with Cu...</t>
  </si>
  <si>
    <t>11.07_4_with Cu...</t>
  </si>
  <si>
    <t>11.08_4_with Cu...</t>
  </si>
  <si>
    <t>11.09_4_with Cu...</t>
  </si>
  <si>
    <t>11.10_4_with Cu...</t>
  </si>
  <si>
    <t>11.11_4_with Cu...</t>
  </si>
  <si>
    <t>11.12_4_with Cu...</t>
  </si>
  <si>
    <t>11.13_4_with Cu...</t>
  </si>
  <si>
    <t>11.14_4_with Cu...</t>
  </si>
  <si>
    <t>11.15_4_with Cu...</t>
  </si>
  <si>
    <t>11.10_4_with 12...</t>
  </si>
  <si>
    <t>11.11_4_with 12...</t>
  </si>
  <si>
    <t>11.12_4_with 12...</t>
  </si>
  <si>
    <t>11.13_4_with 12...</t>
  </si>
  <si>
    <t>11.14_4_with 12...</t>
  </si>
  <si>
    <t>11.15_4_with 12...</t>
  </si>
  <si>
    <t>11.16_4_with 12...</t>
  </si>
  <si>
    <t>11.17_4_with 12...</t>
  </si>
  <si>
    <t>11.18_4_with 12...</t>
  </si>
  <si>
    <t>11.19_4_with 12...</t>
  </si>
  <si>
    <t>11.20_4_with 12...</t>
  </si>
  <si>
    <t>11.21_4_with 12...</t>
  </si>
  <si>
    <t>11.22_4_with 12...</t>
  </si>
  <si>
    <t>11.23_4_with 12...</t>
  </si>
  <si>
    <t>11.24_4_with 12...</t>
  </si>
  <si>
    <t>11.25_4_with 12...</t>
  </si>
  <si>
    <t>11.26_4_with 12...</t>
  </si>
  <si>
    <t>11.27_4_with 12...</t>
  </si>
  <si>
    <t>11.28_4_with 12...</t>
  </si>
  <si>
    <t>11.25_4_with 0....</t>
  </si>
  <si>
    <t>11.26_4_with 0....</t>
  </si>
  <si>
    <t>11.27_4_with 0....</t>
  </si>
  <si>
    <t>11.28_4_with 0....</t>
  </si>
  <si>
    <t>11.29_4_with 0....</t>
  </si>
  <si>
    <t>11.30_4_with 0....</t>
  </si>
  <si>
    <t>12.01_4_with 0....</t>
  </si>
  <si>
    <t>12.02_4_with 0....</t>
  </si>
  <si>
    <t>12.03_4_with 0....</t>
  </si>
  <si>
    <t>12.04_4_with 0....</t>
  </si>
  <si>
    <t>12.05_4_with 0....</t>
  </si>
  <si>
    <t>12.02_4_with 0_...</t>
  </si>
  <si>
    <t>12.03_4_with 0_...</t>
  </si>
  <si>
    <t>12.04_4_with 0_...</t>
  </si>
  <si>
    <t>12.05_4_with 0_...</t>
  </si>
  <si>
    <t>12.06_4_with 0_...</t>
  </si>
  <si>
    <t>12.07_4_with 0_...</t>
  </si>
  <si>
    <t>12.08_4_with 0_...</t>
  </si>
  <si>
    <t>12.09_4_with 0_...</t>
  </si>
  <si>
    <t>12.10_4_with 0_...</t>
  </si>
  <si>
    <t>12.11_4_with 1_...</t>
  </si>
  <si>
    <t>12.12_4_with 1_...</t>
  </si>
  <si>
    <t>12.13_4_with 1_...</t>
  </si>
  <si>
    <t>12.14_4_with 1_...</t>
  </si>
  <si>
    <t>12.15_4_with 1_...</t>
  </si>
  <si>
    <t>12.16_4_with 1_...</t>
  </si>
  <si>
    <t>12.17_4_with 1_...</t>
  </si>
  <si>
    <t>12.18_4_with 1_...</t>
  </si>
  <si>
    <t>12.19_4_with 1_...</t>
  </si>
  <si>
    <t>Time/d</t>
  </si>
  <si>
    <t>Time/h</t>
  </si>
  <si>
    <t>747误差</t>
  </si>
  <si>
    <t>633原始</t>
  </si>
  <si>
    <t>633误差</t>
  </si>
  <si>
    <t>747ln修正</t>
  </si>
  <si>
    <t>633ln修正</t>
  </si>
  <si>
    <t>747修正</t>
  </si>
  <si>
    <t>633修正</t>
  </si>
  <si>
    <t>Time</t>
  </si>
  <si>
    <t>747原始</t>
  </si>
  <si>
    <t>图例</t>
  </si>
  <si>
    <t>10.18.21:22</t>
  </si>
  <si>
    <t>铅砖数据</t>
  </si>
  <si>
    <t>10.20.09:28</t>
  </si>
  <si>
    <t>铜砖数据</t>
  </si>
  <si>
    <t>10.21.09:04</t>
  </si>
  <si>
    <t>有机玻璃间隔12.5cm</t>
  </si>
  <si>
    <t>10.22.09:04</t>
  </si>
  <si>
    <t>靶片在靶框3号位</t>
  </si>
  <si>
    <t>10.23.09:03</t>
  </si>
  <si>
    <t>靶片直接测量</t>
  </si>
  <si>
    <t>10.24.09:03</t>
  </si>
  <si>
    <t>10.25.09:05</t>
  </si>
  <si>
    <t>10.26.09:19</t>
  </si>
  <si>
    <t>10.27.09:23</t>
  </si>
  <si>
    <t>10.28.09:24</t>
  </si>
  <si>
    <t>10.29.12:05</t>
  </si>
  <si>
    <t>10.30.11.00</t>
  </si>
  <si>
    <t>10.30.09.00</t>
  </si>
  <si>
    <t>10.31.11.30</t>
  </si>
  <si>
    <t>10.31.09.00</t>
  </si>
  <si>
    <t>11.01.09.00</t>
  </si>
  <si>
    <t>11.02.09.00</t>
  </si>
  <si>
    <t>11.03.09.00</t>
  </si>
  <si>
    <t>11.04.09.00</t>
  </si>
  <si>
    <t>11.05.09.00</t>
  </si>
  <si>
    <t>11.06.09.00</t>
  </si>
  <si>
    <t>11.07.09.00</t>
  </si>
  <si>
    <t>11.08.10.00</t>
  </si>
  <si>
    <t>11.09.10.00</t>
  </si>
  <si>
    <t>11.10.10.00</t>
  </si>
  <si>
    <t>11.10.13.00</t>
  </si>
  <si>
    <t>11.11.12.00</t>
  </si>
  <si>
    <t>11.11.10.00</t>
  </si>
  <si>
    <t>11.12.14.00</t>
  </si>
  <si>
    <t>11.12.12.00</t>
  </si>
  <si>
    <t>11.13.12.00</t>
  </si>
  <si>
    <t>11.14.10.00</t>
  </si>
  <si>
    <t>11.14.12.00</t>
  </si>
  <si>
    <t>11.15.10.00</t>
  </si>
  <si>
    <t>11.15.09.00</t>
  </si>
  <si>
    <t>11.16.12.00</t>
  </si>
  <si>
    <t>11.17.10.00</t>
  </si>
  <si>
    <t>11.18.09.00</t>
  </si>
  <si>
    <t>11.19.10.00</t>
  </si>
  <si>
    <t>11.20.09.00</t>
  </si>
  <si>
    <t>11.21.09.00</t>
  </si>
  <si>
    <t>11.22.11.00</t>
  </si>
  <si>
    <t>11.23.13.00</t>
  </si>
  <si>
    <t>11.24.09.00</t>
  </si>
  <si>
    <t>11.25.10.00</t>
  </si>
  <si>
    <t>11.25.09.00</t>
  </si>
  <si>
    <t>11.26.09.00</t>
  </si>
  <si>
    <t>11.26.10.00</t>
  </si>
  <si>
    <t>11.27.11.00</t>
  </si>
  <si>
    <t>11.27.09.00</t>
  </si>
  <si>
    <t>11.28.09.00</t>
  </si>
  <si>
    <t>11.28.11.00</t>
  </si>
  <si>
    <t>11.29.10.00</t>
  </si>
  <si>
    <t>11.30.14.00</t>
  </si>
  <si>
    <t>12.01.11.00</t>
  </si>
  <si>
    <t>12.02.11.00</t>
  </si>
  <si>
    <t>12.02.12.00</t>
  </si>
  <si>
    <t>12.03.12.00</t>
  </si>
  <si>
    <t>12.03.10.00</t>
  </si>
  <si>
    <t>12.04.11.00</t>
  </si>
  <si>
    <t>12.04.12.00</t>
  </si>
  <si>
    <t>12.05.11.00</t>
  </si>
  <si>
    <t>12.05.10.00</t>
  </si>
  <si>
    <t>12.06.11.00</t>
  </si>
  <si>
    <t>12.07.11.00</t>
  </si>
  <si>
    <t>12.08.11.00</t>
  </si>
  <si>
    <t>12.09.11.00</t>
  </si>
  <si>
    <t>12.10.11.00</t>
  </si>
  <si>
    <t>12.11.12.00</t>
  </si>
  <si>
    <t>12.12.12.00</t>
  </si>
  <si>
    <t>12.13.13.00</t>
  </si>
  <si>
    <t>12.14.17.00</t>
  </si>
  <si>
    <t>12.15.07.00</t>
  </si>
  <si>
    <t>12.16.19.00</t>
  </si>
  <si>
    <t>12.17.14.00</t>
  </si>
  <si>
    <t>12.18.20.00</t>
  </si>
  <si>
    <t>12.19.07.00</t>
  </si>
  <si>
    <t>12.20.21.00</t>
  </si>
  <si>
    <t>11.04</t>
  </si>
  <si>
    <t>11.05</t>
  </si>
  <si>
    <t>11.06</t>
  </si>
  <si>
    <t>ln(count_rate)</t>
  </si>
  <si>
    <t>h</t>
  </si>
  <si>
    <t>1-747 kev</t>
  </si>
  <si>
    <t>1-633/634 kev</t>
  </si>
  <si>
    <t>2-747 kev</t>
  </si>
  <si>
    <t>2-633/634 kev</t>
  </si>
  <si>
    <t>3-747 kev</t>
  </si>
  <si>
    <t>3-633/634 kev</t>
  </si>
  <si>
    <t>4-747 kev</t>
  </si>
  <si>
    <t>4-633/634 kev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</si>
</sst>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9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10" borderId="4">
      <alignment vertical="center"/>
    </xf>
    <xf numFmtId="0" fontId="13" fillId="11" borderId="5">
      <alignment vertical="center"/>
    </xf>
    <xf numFmtId="0" fontId="14" fillId="11" borderId="4">
      <alignment vertical="center"/>
    </xf>
    <xf numFmtId="0" fontId="15" fillId="12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176" fontId="0" fillId="2" borderId="0" xfId="0" applyNumberForma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4"/>
  <sheetViews>
    <sheetView workbookViewId="0">
      <selection activeCell="F11" sqref="F11"/>
    </sheetView>
  </sheetViews>
  <sheetFormatPr defaultColWidth="8.88888888888889" defaultRowHeight="14.4" outlineLevelCol="6"/>
  <cols>
    <col min="3" max="3" width="20.8888888888889" customWidth="1"/>
    <col min="4" max="4" width="7.66666666666667" customWidth="1"/>
    <col min="5" max="6" width="9.66666666666667" customWidth="1"/>
  </cols>
  <sheetData>
    <row r="1" spans="1:7">
      <c r="A1" t="str">
        <f>LEFT(C1,FIND("_",C1)-1)</f>
        <v>10.18</v>
      </c>
      <c r="B1" t="str">
        <f>MID(C1,FIND("_",C1)+1,FIND("_",C1,FIND("_",C1)+1)-FIND("_",C1)-1)</f>
        <v>1</v>
      </c>
      <c r="C1" t="s">
        <v>0</v>
      </c>
      <c r="D1">
        <v>54.6</v>
      </c>
      <c r="E1">
        <v>12.8284</v>
      </c>
      <c r="F1">
        <v>3.9068</v>
      </c>
    </row>
    <row r="2" spans="1:7">
      <c r="A2" t="str">
        <f t="shared" ref="A1:A64" si="0">LEFT(C2,FIND("_",C2)-1)</f>
        <v>10.20</v>
      </c>
      <c r="B2" t="str">
        <f t="shared" ref="B1:B64" si="1">MID(C2,FIND("_",C2)+1,FIND("_",C2,FIND("_",C2)+1)-FIND("_",C2)-1)</f>
        <v>1</v>
      </c>
      <c r="C2" t="s">
        <v>1</v>
      </c>
      <c r="D2">
        <v>90.8</v>
      </c>
      <c r="E2">
        <v>9.9087</v>
      </c>
      <c r="F2">
        <v>3.1369</v>
      </c>
    </row>
    <row r="3" spans="1:7">
      <c r="A3" t="str">
        <f t="shared" si="0"/>
        <v>10.21</v>
      </c>
      <c r="B3" t="str">
        <f t="shared" si="1"/>
        <v>1</v>
      </c>
      <c r="C3" t="s">
        <v>2</v>
      </c>
      <c r="D3">
        <v>114.3</v>
      </c>
      <c r="E3">
        <v>8.6642</v>
      </c>
      <c r="F3">
        <v>2.7088</v>
      </c>
    </row>
    <row r="4" spans="1:7">
      <c r="A4" t="str">
        <f t="shared" si="0"/>
        <v>10.22</v>
      </c>
      <c r="B4" t="str">
        <f t="shared" si="1"/>
        <v>1</v>
      </c>
      <c r="C4" t="s">
        <v>3</v>
      </c>
      <c r="D4">
        <v>138.2</v>
      </c>
      <c r="E4">
        <v>7.3545</v>
      </c>
      <c r="F4">
        <v>2.3584</v>
      </c>
    </row>
    <row r="5" spans="1:7">
      <c r="A5" t="str">
        <f t="shared" si="0"/>
        <v>10.23</v>
      </c>
      <c r="B5" t="str">
        <f t="shared" si="1"/>
        <v>1</v>
      </c>
      <c r="C5" t="s">
        <v>4</v>
      </c>
      <c r="D5">
        <v>162.2</v>
      </c>
      <c r="E5">
        <v>6.1466</v>
      </c>
      <c r="F5">
        <v>2.0313</v>
      </c>
    </row>
    <row r="6" spans="1:7">
      <c r="A6" t="str">
        <f t="shared" si="0"/>
        <v>10.24</v>
      </c>
      <c r="B6" t="str">
        <f t="shared" si="1"/>
        <v>1</v>
      </c>
      <c r="C6" t="s">
        <v>5</v>
      </c>
      <c r="D6">
        <v>186.2</v>
      </c>
      <c r="E6">
        <v>5.3934</v>
      </c>
      <c r="F6">
        <v>1.7343</v>
      </c>
    </row>
    <row r="7" spans="1:7">
      <c r="A7" t="str">
        <f t="shared" si="0"/>
        <v>10.25</v>
      </c>
      <c r="B7" t="str">
        <f t="shared" si="1"/>
        <v>1</v>
      </c>
      <c r="C7" t="s">
        <v>6</v>
      </c>
      <c r="D7">
        <v>210.4</v>
      </c>
      <c r="E7">
        <v>4.7331</v>
      </c>
      <c r="F7">
        <v>1.3617</v>
      </c>
    </row>
    <row r="8" spans="1:7">
      <c r="A8" t="str">
        <f t="shared" si="0"/>
        <v>10.26</v>
      </c>
      <c r="B8" t="str">
        <f t="shared" si="1"/>
        <v>1</v>
      </c>
      <c r="C8" t="s">
        <v>7</v>
      </c>
      <c r="D8">
        <v>234.7</v>
      </c>
      <c r="E8">
        <v>4.026</v>
      </c>
      <c r="F8">
        <v>1.2574</v>
      </c>
    </row>
    <row r="9" spans="1:7">
      <c r="A9" t="str">
        <f t="shared" si="0"/>
        <v>10.27</v>
      </c>
      <c r="B9" t="str">
        <f t="shared" si="1"/>
        <v>1</v>
      </c>
      <c r="C9" t="s">
        <v>8</v>
      </c>
      <c r="D9">
        <v>258.9</v>
      </c>
      <c r="E9">
        <v>3.43</v>
      </c>
      <c r="F9">
        <v>1.0961</v>
      </c>
    </row>
    <row r="10" spans="1:7">
      <c r="A10" t="str">
        <f t="shared" si="0"/>
        <v>10.28</v>
      </c>
      <c r="B10" t="str">
        <f t="shared" si="1"/>
        <v>1</v>
      </c>
      <c r="C10" t="s">
        <v>9</v>
      </c>
      <c r="D10">
        <v>283</v>
      </c>
      <c r="E10">
        <v>2.9168</v>
      </c>
      <c r="F10">
        <v>0.9106</v>
      </c>
    </row>
    <row r="11" spans="1:7">
      <c r="A11" t="str">
        <f t="shared" si="0"/>
        <v>10.29</v>
      </c>
      <c r="B11" t="str">
        <f t="shared" si="1"/>
        <v>1</v>
      </c>
      <c r="C11" t="s">
        <v>10</v>
      </c>
      <c r="D11">
        <v>307.1</v>
      </c>
      <c r="E11">
        <v>2.4733</v>
      </c>
      <c r="F11">
        <v>0.7817</v>
      </c>
      <c r="G11">
        <v>1</v>
      </c>
    </row>
    <row r="12" spans="1:7">
      <c r="A12" t="str">
        <f t="shared" si="0"/>
        <v>10.30</v>
      </c>
      <c r="B12" t="str">
        <f t="shared" si="1"/>
        <v>1</v>
      </c>
      <c r="C12" t="s">
        <v>11</v>
      </c>
      <c r="D12">
        <v>332.6</v>
      </c>
      <c r="E12">
        <v>2.0882</v>
      </c>
      <c r="F12">
        <v>0.6271</v>
      </c>
      <c r="G12">
        <v>1</v>
      </c>
    </row>
    <row r="13" spans="1:7">
      <c r="A13" t="str">
        <f t="shared" si="0"/>
        <v>10.31</v>
      </c>
      <c r="B13" t="str">
        <f t="shared" si="1"/>
        <v>1</v>
      </c>
      <c r="C13" t="s">
        <v>12</v>
      </c>
      <c r="D13">
        <v>354.6</v>
      </c>
      <c r="E13">
        <v>1.816</v>
      </c>
      <c r="F13">
        <v>0.5642</v>
      </c>
      <c r="G13">
        <v>1</v>
      </c>
    </row>
    <row r="14" spans="1:7">
      <c r="A14" t="str">
        <f t="shared" si="0"/>
        <v>10.29</v>
      </c>
      <c r="B14" t="str">
        <f t="shared" si="1"/>
        <v>1</v>
      </c>
      <c r="C14" t="s">
        <v>13</v>
      </c>
      <c r="D14">
        <v>309.5</v>
      </c>
      <c r="E14">
        <v>18.9639</v>
      </c>
      <c r="F14">
        <v>13.5973</v>
      </c>
      <c r="G14">
        <v>2</v>
      </c>
    </row>
    <row r="15" spans="1:7">
      <c r="A15" t="str">
        <f t="shared" si="0"/>
        <v>10.30</v>
      </c>
      <c r="B15" t="str">
        <f t="shared" si="1"/>
        <v>1</v>
      </c>
      <c r="C15" t="s">
        <v>14</v>
      </c>
      <c r="D15">
        <v>330.5</v>
      </c>
      <c r="E15">
        <v>16.8138</v>
      </c>
      <c r="F15">
        <v>11.2928</v>
      </c>
      <c r="G15">
        <v>2</v>
      </c>
    </row>
    <row r="16" spans="1:7">
      <c r="A16" t="str">
        <f t="shared" si="0"/>
        <v>10.31</v>
      </c>
      <c r="B16" t="str">
        <f t="shared" si="1"/>
        <v>1</v>
      </c>
      <c r="C16" t="s">
        <v>15</v>
      </c>
      <c r="D16">
        <v>356.8</v>
      </c>
      <c r="E16">
        <v>14.1151</v>
      </c>
      <c r="F16">
        <v>9.3952</v>
      </c>
      <c r="G16">
        <v>2</v>
      </c>
    </row>
    <row r="17" spans="1:7">
      <c r="A17" t="str">
        <f t="shared" si="0"/>
        <v>11.01</v>
      </c>
      <c r="B17" t="str">
        <f t="shared" si="1"/>
        <v>1</v>
      </c>
      <c r="C17" t="s">
        <v>16</v>
      </c>
      <c r="D17">
        <v>378.2</v>
      </c>
      <c r="E17">
        <v>12.1197</v>
      </c>
      <c r="F17">
        <v>8.3159</v>
      </c>
    </row>
    <row r="18" spans="1:7">
      <c r="A18" t="str">
        <f t="shared" si="0"/>
        <v>11.02</v>
      </c>
      <c r="B18" t="str">
        <f t="shared" si="1"/>
        <v>1</v>
      </c>
      <c r="C18" t="s">
        <v>17</v>
      </c>
      <c r="D18">
        <v>402.3</v>
      </c>
      <c r="E18">
        <v>10.1721</v>
      </c>
      <c r="F18">
        <v>7.0918</v>
      </c>
    </row>
    <row r="19" spans="1:7">
      <c r="A19" t="str">
        <f t="shared" si="0"/>
        <v>11.03</v>
      </c>
      <c r="B19" t="str">
        <f t="shared" si="1"/>
        <v>1</v>
      </c>
      <c r="C19" t="s">
        <v>18</v>
      </c>
      <c r="D19">
        <v>426.3</v>
      </c>
      <c r="E19">
        <v>8.9329</v>
      </c>
      <c r="F19">
        <v>6.047</v>
      </c>
    </row>
    <row r="20" spans="1:7">
      <c r="A20" t="str">
        <f t="shared" si="0"/>
        <v>11.04</v>
      </c>
      <c r="B20" t="str">
        <f t="shared" si="1"/>
        <v>1</v>
      </c>
      <c r="C20" t="s">
        <v>19</v>
      </c>
      <c r="D20">
        <v>450.3</v>
      </c>
      <c r="E20">
        <v>7.6697</v>
      </c>
      <c r="F20">
        <v>5.2586</v>
      </c>
    </row>
    <row r="21" spans="1:7">
      <c r="A21" t="str">
        <f t="shared" si="0"/>
        <v>11.05</v>
      </c>
      <c r="B21" t="str">
        <f t="shared" si="1"/>
        <v>1</v>
      </c>
      <c r="C21" t="s">
        <v>20</v>
      </c>
      <c r="D21">
        <v>474.9</v>
      </c>
      <c r="E21">
        <v>6.4846</v>
      </c>
      <c r="F21">
        <v>4.4424</v>
      </c>
    </row>
    <row r="22" spans="1:7">
      <c r="A22" t="str">
        <f t="shared" si="0"/>
        <v>11.06</v>
      </c>
      <c r="B22" t="str">
        <f t="shared" si="1"/>
        <v>1</v>
      </c>
      <c r="C22" t="s">
        <v>21</v>
      </c>
      <c r="D22">
        <v>498.3</v>
      </c>
      <c r="E22">
        <v>5.675</v>
      </c>
      <c r="F22">
        <v>3.8401</v>
      </c>
    </row>
    <row r="23" spans="1:7">
      <c r="A23" t="str">
        <f t="shared" si="0"/>
        <v>11.07</v>
      </c>
      <c r="B23" t="str">
        <f t="shared" si="1"/>
        <v>1</v>
      </c>
      <c r="C23" t="s">
        <v>22</v>
      </c>
      <c r="D23">
        <v>522.4</v>
      </c>
      <c r="E23">
        <v>4.7619</v>
      </c>
      <c r="F23">
        <v>3.2945</v>
      </c>
    </row>
    <row r="24" spans="1:7">
      <c r="A24" t="str">
        <f t="shared" si="0"/>
        <v>11.08</v>
      </c>
      <c r="B24" t="str">
        <f t="shared" si="1"/>
        <v>1</v>
      </c>
      <c r="C24" t="s">
        <v>23</v>
      </c>
      <c r="D24">
        <v>546.4</v>
      </c>
      <c r="E24">
        <v>4.0377</v>
      </c>
      <c r="F24">
        <v>2.7645</v>
      </c>
    </row>
    <row r="25" spans="1:7">
      <c r="A25" t="str">
        <f t="shared" si="0"/>
        <v>11.09</v>
      </c>
      <c r="B25" t="str">
        <f t="shared" si="1"/>
        <v>1</v>
      </c>
      <c r="C25" t="s">
        <v>24</v>
      </c>
      <c r="D25">
        <v>571.3</v>
      </c>
      <c r="E25">
        <v>3.4249</v>
      </c>
      <c r="F25">
        <v>2.4561</v>
      </c>
    </row>
    <row r="26" spans="1:7">
      <c r="A26" t="str">
        <f t="shared" si="0"/>
        <v>11.10</v>
      </c>
      <c r="B26" t="str">
        <f t="shared" si="1"/>
        <v>1</v>
      </c>
      <c r="C26" t="s">
        <v>25</v>
      </c>
      <c r="D26">
        <v>594.6</v>
      </c>
      <c r="E26">
        <v>2.9831</v>
      </c>
      <c r="F26">
        <v>1.9694</v>
      </c>
      <c r="G26">
        <v>1</v>
      </c>
    </row>
    <row r="27" spans="1:7">
      <c r="A27" t="str">
        <f t="shared" si="0"/>
        <v>11.11</v>
      </c>
      <c r="B27" t="str">
        <f t="shared" si="1"/>
        <v>1</v>
      </c>
      <c r="C27" t="s">
        <v>26</v>
      </c>
      <c r="D27">
        <v>620.9</v>
      </c>
      <c r="E27">
        <v>2.5348</v>
      </c>
      <c r="F27">
        <v>1.7397</v>
      </c>
      <c r="G27">
        <v>1</v>
      </c>
    </row>
    <row r="28" spans="1:7">
      <c r="A28" t="str">
        <f t="shared" si="0"/>
        <v>11.12</v>
      </c>
      <c r="B28" t="str">
        <f t="shared" si="1"/>
        <v>1</v>
      </c>
      <c r="C28" t="s">
        <v>27</v>
      </c>
      <c r="D28">
        <v>647.5</v>
      </c>
      <c r="E28">
        <v>2.0639</v>
      </c>
      <c r="F28">
        <v>1.5058</v>
      </c>
      <c r="G28">
        <v>1</v>
      </c>
    </row>
    <row r="29" spans="1:7">
      <c r="A29" t="str">
        <f t="shared" si="0"/>
        <v>11.13</v>
      </c>
      <c r="B29" t="str">
        <f t="shared" si="1"/>
        <v>1</v>
      </c>
      <c r="C29" t="s">
        <v>28</v>
      </c>
      <c r="D29">
        <v>669.5</v>
      </c>
      <c r="E29">
        <v>1.7812</v>
      </c>
      <c r="F29">
        <v>1.3068</v>
      </c>
      <c r="G29">
        <v>1</v>
      </c>
    </row>
    <row r="30" spans="1:7">
      <c r="A30" t="str">
        <f t="shared" si="0"/>
        <v>11.14</v>
      </c>
      <c r="B30" t="str">
        <f t="shared" si="1"/>
        <v>1</v>
      </c>
      <c r="C30" t="s">
        <v>29</v>
      </c>
      <c r="D30">
        <v>690.8</v>
      </c>
      <c r="E30">
        <v>1.43</v>
      </c>
      <c r="F30">
        <v>1.106</v>
      </c>
      <c r="G30">
        <v>1</v>
      </c>
    </row>
    <row r="31" spans="1:7">
      <c r="A31" t="str">
        <f t="shared" si="0"/>
        <v>11.15</v>
      </c>
      <c r="B31" t="str">
        <f t="shared" si="1"/>
        <v>1</v>
      </c>
      <c r="C31" t="s">
        <v>30</v>
      </c>
      <c r="D31">
        <v>716.7</v>
      </c>
      <c r="E31">
        <v>1.3721</v>
      </c>
      <c r="F31">
        <v>0.9088</v>
      </c>
      <c r="G31">
        <v>1</v>
      </c>
    </row>
    <row r="32" spans="1:7">
      <c r="A32" t="str">
        <f t="shared" si="0"/>
        <v>11.10</v>
      </c>
      <c r="B32" t="str">
        <f t="shared" si="1"/>
        <v>1</v>
      </c>
      <c r="C32" t="s">
        <v>31</v>
      </c>
      <c r="D32">
        <v>598.3</v>
      </c>
      <c r="E32">
        <v>30.126</v>
      </c>
      <c r="F32">
        <v>26.1182</v>
      </c>
      <c r="G32">
        <v>2</v>
      </c>
    </row>
    <row r="33" spans="1:7">
      <c r="A33" t="str">
        <f t="shared" si="0"/>
        <v>11.11</v>
      </c>
      <c r="B33" t="str">
        <f t="shared" si="1"/>
        <v>1</v>
      </c>
      <c r="C33" t="s">
        <v>32</v>
      </c>
      <c r="D33">
        <v>619.2</v>
      </c>
      <c r="E33">
        <v>26.5912</v>
      </c>
      <c r="F33">
        <v>23.2325</v>
      </c>
      <c r="G33">
        <v>2</v>
      </c>
    </row>
    <row r="34" spans="1:7">
      <c r="A34" t="str">
        <f t="shared" si="0"/>
        <v>11.12</v>
      </c>
      <c r="B34" t="str">
        <f t="shared" si="1"/>
        <v>1</v>
      </c>
      <c r="C34" t="s">
        <v>33</v>
      </c>
      <c r="D34">
        <v>645.2</v>
      </c>
      <c r="E34">
        <v>21.6825</v>
      </c>
      <c r="F34">
        <v>19.7189</v>
      </c>
      <c r="G34">
        <v>2</v>
      </c>
    </row>
    <row r="35" spans="1:7">
      <c r="A35" t="str">
        <f t="shared" si="0"/>
        <v>11.13</v>
      </c>
      <c r="B35" t="str">
        <f t="shared" si="1"/>
        <v>1</v>
      </c>
      <c r="C35" t="s">
        <v>34</v>
      </c>
      <c r="D35">
        <v>666.6</v>
      </c>
      <c r="E35">
        <v>18.2986</v>
      </c>
      <c r="F35">
        <v>16.8311</v>
      </c>
      <c r="G35">
        <v>2</v>
      </c>
    </row>
    <row r="36" spans="1:7">
      <c r="A36" t="str">
        <f t="shared" si="0"/>
        <v>11.14</v>
      </c>
      <c r="B36" t="str">
        <f t="shared" si="1"/>
        <v>1</v>
      </c>
      <c r="C36" t="s">
        <v>35</v>
      </c>
      <c r="D36">
        <v>693.3</v>
      </c>
      <c r="E36">
        <v>15.7886</v>
      </c>
      <c r="F36">
        <v>14.5038</v>
      </c>
      <c r="G36">
        <v>2</v>
      </c>
    </row>
    <row r="37" spans="1:7">
      <c r="A37" t="str">
        <f t="shared" si="0"/>
        <v>11.15</v>
      </c>
      <c r="B37" t="str">
        <f t="shared" si="1"/>
        <v>1</v>
      </c>
      <c r="C37" t="s">
        <v>36</v>
      </c>
      <c r="D37">
        <v>714.2</v>
      </c>
      <c r="E37">
        <v>13.7634</v>
      </c>
      <c r="F37">
        <v>11.9937</v>
      </c>
      <c r="G37">
        <v>2</v>
      </c>
    </row>
    <row r="38" spans="1:7">
      <c r="A38" t="str">
        <f t="shared" si="0"/>
        <v>11.16</v>
      </c>
      <c r="B38" t="str">
        <f t="shared" si="1"/>
        <v>1</v>
      </c>
      <c r="C38" t="s">
        <v>37</v>
      </c>
      <c r="D38">
        <v>740.4</v>
      </c>
      <c r="E38">
        <v>11.2845</v>
      </c>
      <c r="F38">
        <v>10.6064</v>
      </c>
    </row>
    <row r="39" spans="1:7">
      <c r="A39" t="str">
        <f t="shared" si="0"/>
        <v>11.17</v>
      </c>
      <c r="B39" t="str">
        <f t="shared" si="1"/>
        <v>1</v>
      </c>
      <c r="C39" t="s">
        <v>38</v>
      </c>
      <c r="D39">
        <v>762.5</v>
      </c>
      <c r="E39">
        <v>9.7047</v>
      </c>
      <c r="F39">
        <v>9.0062</v>
      </c>
    </row>
    <row r="40" spans="1:7">
      <c r="A40" t="str">
        <f t="shared" si="0"/>
        <v>11.18</v>
      </c>
      <c r="B40" t="str">
        <f t="shared" si="1"/>
        <v>1</v>
      </c>
      <c r="C40" t="s">
        <v>39</v>
      </c>
      <c r="D40">
        <v>786.4</v>
      </c>
      <c r="E40">
        <v>8.2238</v>
      </c>
      <c r="F40">
        <v>7.7505</v>
      </c>
    </row>
    <row r="41" spans="1:7">
      <c r="A41" t="str">
        <f t="shared" si="0"/>
        <v>11.19</v>
      </c>
      <c r="B41" t="str">
        <f t="shared" si="1"/>
        <v>1</v>
      </c>
      <c r="C41" t="s">
        <v>40</v>
      </c>
      <c r="D41">
        <v>811</v>
      </c>
      <c r="E41">
        <v>7.2264</v>
      </c>
      <c r="F41">
        <v>6.9067</v>
      </c>
    </row>
    <row r="42" spans="1:7">
      <c r="A42" t="str">
        <f t="shared" si="0"/>
        <v>11.20</v>
      </c>
      <c r="B42" t="str">
        <f t="shared" si="1"/>
        <v>1</v>
      </c>
      <c r="C42" t="s">
        <v>41</v>
      </c>
      <c r="D42">
        <v>834.2</v>
      </c>
      <c r="E42">
        <v>6.5343</v>
      </c>
      <c r="F42">
        <v>5.6943</v>
      </c>
    </row>
    <row r="43" spans="1:7">
      <c r="A43" t="str">
        <f t="shared" si="0"/>
        <v>11.21</v>
      </c>
      <c r="B43" t="str">
        <f t="shared" si="1"/>
        <v>1</v>
      </c>
      <c r="C43" t="s">
        <v>42</v>
      </c>
      <c r="D43">
        <v>858.4</v>
      </c>
      <c r="E43">
        <v>5.5929</v>
      </c>
      <c r="F43">
        <v>4.83</v>
      </c>
    </row>
    <row r="44" spans="1:7">
      <c r="A44" t="str">
        <f t="shared" si="0"/>
        <v>11.22</v>
      </c>
      <c r="B44" t="str">
        <f t="shared" si="1"/>
        <v>1</v>
      </c>
      <c r="C44" t="s">
        <v>43</v>
      </c>
      <c r="D44">
        <v>884.2</v>
      </c>
      <c r="E44">
        <v>4.4079</v>
      </c>
      <c r="F44">
        <v>4.2121</v>
      </c>
    </row>
    <row r="45" spans="1:7">
      <c r="A45" t="str">
        <f t="shared" si="0"/>
        <v>11.23</v>
      </c>
      <c r="B45" t="str">
        <f t="shared" si="1"/>
        <v>1</v>
      </c>
      <c r="C45" t="s">
        <v>44</v>
      </c>
      <c r="D45">
        <v>910.3</v>
      </c>
      <c r="E45">
        <v>3.7534</v>
      </c>
      <c r="F45">
        <v>3.5</v>
      </c>
    </row>
    <row r="46" spans="1:7">
      <c r="A46" t="str">
        <f t="shared" si="0"/>
        <v>11.24</v>
      </c>
      <c r="B46" t="str">
        <f t="shared" si="1"/>
        <v>1</v>
      </c>
      <c r="C46" t="s">
        <v>45</v>
      </c>
      <c r="D46">
        <v>930.5</v>
      </c>
      <c r="E46">
        <v>3.2356</v>
      </c>
      <c r="F46">
        <v>3.1482</v>
      </c>
    </row>
    <row r="47" spans="1:7">
      <c r="A47" t="str">
        <f t="shared" si="0"/>
        <v>11.25</v>
      </c>
      <c r="B47" t="str">
        <f t="shared" si="1"/>
        <v>1</v>
      </c>
      <c r="C47" t="s">
        <v>46</v>
      </c>
      <c r="D47">
        <v>954.6</v>
      </c>
      <c r="E47">
        <v>2.947</v>
      </c>
      <c r="F47">
        <v>2.678</v>
      </c>
      <c r="G47">
        <v>1</v>
      </c>
    </row>
    <row r="48" spans="1:7">
      <c r="A48" t="str">
        <f t="shared" si="0"/>
        <v>11.26</v>
      </c>
      <c r="B48" t="str">
        <f t="shared" si="1"/>
        <v>1</v>
      </c>
      <c r="C48" t="s">
        <v>47</v>
      </c>
      <c r="D48">
        <v>980.4</v>
      </c>
      <c r="E48">
        <v>2.4682</v>
      </c>
      <c r="F48">
        <v>2.1948</v>
      </c>
      <c r="G48">
        <v>1</v>
      </c>
    </row>
    <row r="49" spans="1:7">
      <c r="A49" t="str">
        <f t="shared" si="0"/>
        <v>11.27</v>
      </c>
      <c r="B49" t="str">
        <f t="shared" si="1"/>
        <v>1</v>
      </c>
      <c r="C49" t="s">
        <v>48</v>
      </c>
      <c r="D49">
        <v>1002.7</v>
      </c>
      <c r="E49">
        <v>2.0758</v>
      </c>
      <c r="F49">
        <v>1.9462</v>
      </c>
      <c r="G49">
        <v>1</v>
      </c>
    </row>
    <row r="50" spans="1:7">
      <c r="A50" t="str">
        <f t="shared" si="0"/>
        <v>11.28</v>
      </c>
      <c r="B50" t="str">
        <f t="shared" si="1"/>
        <v>1</v>
      </c>
      <c r="C50" t="s">
        <v>49</v>
      </c>
      <c r="D50">
        <v>1029</v>
      </c>
      <c r="E50">
        <v>1.8653</v>
      </c>
      <c r="F50">
        <v>1.6976</v>
      </c>
      <c r="G50">
        <v>1</v>
      </c>
    </row>
    <row r="51" spans="1:7">
      <c r="A51" t="str">
        <f t="shared" si="0"/>
        <v>11.25</v>
      </c>
      <c r="B51" t="str">
        <f t="shared" si="1"/>
        <v>1</v>
      </c>
      <c r="C51" t="s">
        <v>50</v>
      </c>
      <c r="D51">
        <v>955.9</v>
      </c>
      <c r="E51">
        <v>8.1929</v>
      </c>
      <c r="F51">
        <v>8.2229</v>
      </c>
      <c r="G51">
        <v>2</v>
      </c>
    </row>
    <row r="52" spans="1:7">
      <c r="A52" t="str">
        <f t="shared" si="0"/>
        <v>11.26</v>
      </c>
      <c r="B52" t="str">
        <f t="shared" si="1"/>
        <v>1</v>
      </c>
      <c r="C52" t="s">
        <v>51</v>
      </c>
      <c r="D52">
        <v>978.5</v>
      </c>
      <c r="E52">
        <v>7.4274</v>
      </c>
      <c r="F52">
        <v>6.6256</v>
      </c>
      <c r="G52">
        <v>2</v>
      </c>
    </row>
    <row r="53" spans="1:7">
      <c r="A53" t="str">
        <f t="shared" si="0"/>
        <v>11.27</v>
      </c>
      <c r="B53" t="str">
        <f t="shared" si="1"/>
        <v>1</v>
      </c>
      <c r="C53" t="s">
        <v>52</v>
      </c>
      <c r="D53">
        <v>1004.6</v>
      </c>
      <c r="E53">
        <v>6.264</v>
      </c>
      <c r="F53">
        <v>5.8567</v>
      </c>
      <c r="G53">
        <v>2</v>
      </c>
    </row>
    <row r="54" spans="1:7">
      <c r="A54" t="str">
        <f t="shared" si="0"/>
        <v>11.28</v>
      </c>
      <c r="B54" t="str">
        <f t="shared" si="1"/>
        <v>1</v>
      </c>
      <c r="C54" t="s">
        <v>53</v>
      </c>
      <c r="D54">
        <v>1026.9</v>
      </c>
      <c r="E54">
        <v>5.351</v>
      </c>
      <c r="F54">
        <v>4.8622</v>
      </c>
      <c r="G54">
        <v>2</v>
      </c>
    </row>
    <row r="55" spans="1:7">
      <c r="A55" t="str">
        <f t="shared" si="0"/>
        <v>11.29</v>
      </c>
      <c r="B55" t="str">
        <f t="shared" si="1"/>
        <v>1</v>
      </c>
      <c r="C55" t="s">
        <v>54</v>
      </c>
      <c r="D55">
        <v>1051.2</v>
      </c>
      <c r="E55">
        <v>4.4945</v>
      </c>
      <c r="F55">
        <v>4.3543</v>
      </c>
    </row>
    <row r="56" spans="1:7">
      <c r="A56" t="str">
        <f t="shared" si="0"/>
        <v>11.30</v>
      </c>
      <c r="B56" t="str">
        <f t="shared" si="1"/>
        <v>1</v>
      </c>
      <c r="C56" t="s">
        <v>55</v>
      </c>
      <c r="D56">
        <v>1078.5</v>
      </c>
      <c r="E56">
        <v>4.0089</v>
      </c>
      <c r="F56">
        <v>3.6385</v>
      </c>
    </row>
    <row r="57" spans="1:7">
      <c r="A57" t="str">
        <f t="shared" si="0"/>
        <v>12.01</v>
      </c>
      <c r="B57" t="str">
        <f t="shared" si="1"/>
        <v>1</v>
      </c>
      <c r="C57" t="s">
        <v>56</v>
      </c>
      <c r="D57">
        <v>1100</v>
      </c>
      <c r="E57">
        <v>3.3791</v>
      </c>
      <c r="F57">
        <v>3.126</v>
      </c>
    </row>
    <row r="58" spans="1:7">
      <c r="A58" t="str">
        <f t="shared" si="0"/>
        <v>12.02</v>
      </c>
      <c r="B58" t="str">
        <f t="shared" si="1"/>
        <v>1</v>
      </c>
      <c r="C58" t="s">
        <v>57</v>
      </c>
      <c r="D58">
        <v>1123.8</v>
      </c>
      <c r="E58">
        <v>2.8236</v>
      </c>
      <c r="F58">
        <v>2.7854</v>
      </c>
      <c r="G58">
        <v>2</v>
      </c>
    </row>
    <row r="59" spans="1:7">
      <c r="A59" t="str">
        <f t="shared" si="0"/>
        <v>12.03</v>
      </c>
      <c r="B59" t="str">
        <f t="shared" si="1"/>
        <v>1</v>
      </c>
      <c r="C59" t="s">
        <v>58</v>
      </c>
      <c r="D59">
        <v>1149.3</v>
      </c>
      <c r="E59">
        <v>2.2533</v>
      </c>
      <c r="F59">
        <v>2.1761</v>
      </c>
      <c r="G59">
        <v>2</v>
      </c>
    </row>
    <row r="60" spans="1:7">
      <c r="A60" t="str">
        <f t="shared" si="0"/>
        <v>12.04</v>
      </c>
      <c r="B60" t="str">
        <f t="shared" si="1"/>
        <v>1</v>
      </c>
      <c r="C60" t="s">
        <v>59</v>
      </c>
      <c r="D60">
        <v>1171.9</v>
      </c>
      <c r="E60">
        <v>2.0485</v>
      </c>
      <c r="F60">
        <v>1.9875</v>
      </c>
      <c r="G60">
        <v>2</v>
      </c>
    </row>
    <row r="61" spans="1:7">
      <c r="A61" t="str">
        <f t="shared" si="0"/>
        <v>12.05</v>
      </c>
      <c r="B61" t="str">
        <f t="shared" si="1"/>
        <v>1</v>
      </c>
      <c r="C61" t="s">
        <v>60</v>
      </c>
      <c r="D61">
        <v>1197.7</v>
      </c>
      <c r="E61">
        <v>1.6875</v>
      </c>
      <c r="F61">
        <v>1.6894</v>
      </c>
      <c r="G61">
        <v>2</v>
      </c>
    </row>
    <row r="62" spans="1:7">
      <c r="A62" t="str">
        <f t="shared" si="0"/>
        <v>12.02</v>
      </c>
      <c r="B62" t="str">
        <f t="shared" si="1"/>
        <v>1</v>
      </c>
      <c r="C62" t="s">
        <v>61</v>
      </c>
      <c r="D62">
        <v>1126.1</v>
      </c>
      <c r="E62">
        <v>6.0379</v>
      </c>
      <c r="F62">
        <v>5.7207</v>
      </c>
      <c r="G62">
        <v>1</v>
      </c>
    </row>
    <row r="63" spans="1:7">
      <c r="A63" t="str">
        <f t="shared" si="0"/>
        <v>12.03</v>
      </c>
      <c r="B63" t="str">
        <f t="shared" si="1"/>
        <v>1</v>
      </c>
      <c r="C63" t="s">
        <v>62</v>
      </c>
      <c r="D63">
        <v>1147.1</v>
      </c>
      <c r="E63">
        <v>5.4555</v>
      </c>
      <c r="F63">
        <v>4.9512</v>
      </c>
      <c r="G63">
        <v>1</v>
      </c>
    </row>
    <row r="64" spans="1:7">
      <c r="A64" t="str">
        <f t="shared" si="0"/>
        <v>12.04</v>
      </c>
      <c r="B64" t="str">
        <f t="shared" si="1"/>
        <v>1</v>
      </c>
      <c r="C64" t="s">
        <v>63</v>
      </c>
      <c r="D64">
        <v>1174</v>
      </c>
      <c r="E64">
        <v>4.4408</v>
      </c>
      <c r="F64">
        <v>4.2528</v>
      </c>
      <c r="G64">
        <v>1</v>
      </c>
    </row>
    <row r="65" spans="1:7">
      <c r="A65" t="str">
        <f t="shared" ref="A65:A128" si="2">LEFT(C65,FIND("_",C65)-1)</f>
        <v>12.05</v>
      </c>
      <c r="B65" t="str">
        <f t="shared" ref="B65:B128" si="3">MID(C65,FIND("_",C65)+1,FIND("_",C65,FIND("_",C65)+1)-FIND("_",C65)-1)</f>
        <v>1</v>
      </c>
      <c r="C65" t="s">
        <v>64</v>
      </c>
      <c r="D65">
        <v>1195.3</v>
      </c>
      <c r="E65">
        <v>3.8293</v>
      </c>
      <c r="F65">
        <v>3.8053</v>
      </c>
      <c r="G65">
        <v>1</v>
      </c>
    </row>
    <row r="66" spans="1:7">
      <c r="A66" t="str">
        <f t="shared" si="2"/>
        <v>12.06</v>
      </c>
      <c r="B66" t="str">
        <f t="shared" si="3"/>
        <v>1</v>
      </c>
      <c r="C66" t="s">
        <v>65</v>
      </c>
      <c r="D66">
        <v>1220.3</v>
      </c>
      <c r="E66">
        <v>3.1716</v>
      </c>
      <c r="F66">
        <v>3.0922</v>
      </c>
    </row>
    <row r="67" spans="1:7">
      <c r="A67" t="str">
        <f t="shared" si="2"/>
        <v>12.07</v>
      </c>
      <c r="B67" t="str">
        <f t="shared" si="3"/>
        <v>1</v>
      </c>
      <c r="C67" t="s">
        <v>66</v>
      </c>
      <c r="D67">
        <v>1244.4</v>
      </c>
      <c r="E67">
        <v>2.7569</v>
      </c>
      <c r="F67">
        <v>2.6228</v>
      </c>
    </row>
    <row r="68" spans="1:7">
      <c r="A68" t="str">
        <f t="shared" si="2"/>
        <v>12.08</v>
      </c>
      <c r="B68" t="str">
        <f t="shared" si="3"/>
        <v>1</v>
      </c>
      <c r="C68" t="s">
        <v>67</v>
      </c>
      <c r="D68">
        <v>1268.2</v>
      </c>
      <c r="E68">
        <v>2.3084</v>
      </c>
      <c r="F68">
        <v>2.1362</v>
      </c>
    </row>
    <row r="69" spans="1:7">
      <c r="A69" t="str">
        <f t="shared" si="2"/>
        <v>12.09</v>
      </c>
      <c r="B69" t="str">
        <f t="shared" si="3"/>
        <v>1</v>
      </c>
      <c r="C69" t="s">
        <v>68</v>
      </c>
      <c r="D69">
        <v>1292.4</v>
      </c>
      <c r="E69">
        <v>2.0469</v>
      </c>
      <c r="F69">
        <v>1.8417</v>
      </c>
    </row>
    <row r="70" spans="1:7">
      <c r="A70" t="str">
        <f t="shared" si="2"/>
        <v>12.10</v>
      </c>
      <c r="B70" t="str">
        <f t="shared" si="3"/>
        <v>1</v>
      </c>
      <c r="C70" t="s">
        <v>69</v>
      </c>
      <c r="D70">
        <v>1315.9</v>
      </c>
      <c r="E70">
        <v>1.6068</v>
      </c>
      <c r="F70">
        <v>1.7117</v>
      </c>
    </row>
    <row r="71" spans="1:7">
      <c r="A71" t="str">
        <f t="shared" si="2"/>
        <v>12.10</v>
      </c>
      <c r="B71" t="str">
        <f t="shared" si="3"/>
        <v>1</v>
      </c>
      <c r="C71" t="s">
        <v>70</v>
      </c>
      <c r="D71">
        <v>1316.5</v>
      </c>
      <c r="E71">
        <v>1.6182</v>
      </c>
      <c r="F71">
        <v>1.5919</v>
      </c>
    </row>
    <row r="72" spans="1:7">
      <c r="A72" t="str">
        <f t="shared" si="2"/>
        <v>12.11</v>
      </c>
      <c r="B72" t="str">
        <f t="shared" si="3"/>
        <v>1</v>
      </c>
      <c r="C72" t="s">
        <v>71</v>
      </c>
      <c r="D72">
        <v>1340.7</v>
      </c>
      <c r="E72">
        <v>1.2871</v>
      </c>
      <c r="F72">
        <v>1.5135</v>
      </c>
    </row>
    <row r="73" spans="1:7">
      <c r="A73" t="str">
        <f t="shared" si="2"/>
        <v>12.12</v>
      </c>
      <c r="B73" t="str">
        <f t="shared" si="3"/>
        <v>1</v>
      </c>
      <c r="C73" t="s">
        <v>72</v>
      </c>
      <c r="D73">
        <v>1364.9</v>
      </c>
      <c r="E73">
        <v>1.0658</v>
      </c>
      <c r="F73">
        <v>1.286</v>
      </c>
    </row>
    <row r="74" spans="1:7">
      <c r="A74" t="str">
        <f t="shared" si="2"/>
        <v>12.13</v>
      </c>
      <c r="B74" t="str">
        <f t="shared" si="3"/>
        <v>1</v>
      </c>
      <c r="C74" t="s">
        <v>73</v>
      </c>
      <c r="D74">
        <v>1389.9</v>
      </c>
      <c r="E74">
        <v>0.9119</v>
      </c>
      <c r="F74">
        <v>1.1368</v>
      </c>
    </row>
    <row r="75" spans="1:7">
      <c r="A75" t="str">
        <f t="shared" si="2"/>
        <v>12.14</v>
      </c>
      <c r="B75" t="str">
        <f t="shared" si="3"/>
        <v>1</v>
      </c>
      <c r="C75" t="s">
        <v>74</v>
      </c>
      <c r="D75">
        <v>1418.8</v>
      </c>
      <c r="E75">
        <v>0.7324</v>
      </c>
      <c r="F75">
        <v>0.8723</v>
      </c>
    </row>
    <row r="76" spans="1:7">
      <c r="A76" t="str">
        <f t="shared" si="2"/>
        <v>12.15</v>
      </c>
      <c r="B76" t="str">
        <f t="shared" si="3"/>
        <v>1</v>
      </c>
      <c r="C76" t="s">
        <v>75</v>
      </c>
      <c r="D76">
        <v>1431.4</v>
      </c>
      <c r="E76">
        <v>0.6462</v>
      </c>
      <c r="F76">
        <v>0.8595</v>
      </c>
    </row>
    <row r="77" spans="1:7">
      <c r="A77" t="str">
        <f t="shared" si="2"/>
        <v>12.16</v>
      </c>
      <c r="B77" t="str">
        <f t="shared" si="3"/>
        <v>1</v>
      </c>
      <c r="C77" t="s">
        <v>76</v>
      </c>
      <c r="D77">
        <v>1467.6</v>
      </c>
      <c r="E77">
        <v>0.4767</v>
      </c>
      <c r="F77">
        <v>0.6965</v>
      </c>
    </row>
    <row r="78" spans="1:7">
      <c r="A78" t="str">
        <f t="shared" si="2"/>
        <v>12.17</v>
      </c>
      <c r="B78" t="str">
        <f t="shared" si="3"/>
        <v>1</v>
      </c>
      <c r="C78" t="s">
        <v>77</v>
      </c>
      <c r="D78">
        <v>1486.5</v>
      </c>
      <c r="E78">
        <v>0.453</v>
      </c>
      <c r="F78">
        <v>0.552</v>
      </c>
    </row>
    <row r="79" spans="1:7">
      <c r="A79" t="str">
        <f t="shared" si="2"/>
        <v>12.18</v>
      </c>
      <c r="B79" t="str">
        <f t="shared" si="3"/>
        <v>1</v>
      </c>
      <c r="C79" t="s">
        <v>78</v>
      </c>
      <c r="D79">
        <v>1515.7</v>
      </c>
      <c r="E79">
        <v>0.2857</v>
      </c>
      <c r="F79">
        <v>0.4704</v>
      </c>
    </row>
    <row r="80" spans="1:7">
      <c r="A80" t="str">
        <f t="shared" si="2"/>
        <v>12.19</v>
      </c>
      <c r="B80" t="str">
        <f t="shared" si="3"/>
        <v>1</v>
      </c>
      <c r="C80" t="s">
        <v>79</v>
      </c>
      <c r="D80">
        <v>1527</v>
      </c>
      <c r="E80">
        <v>0.2748</v>
      </c>
      <c r="F80">
        <v>0.4156</v>
      </c>
    </row>
    <row r="81" spans="1:7">
      <c r="A81" t="str">
        <f t="shared" si="2"/>
        <v>12.20</v>
      </c>
      <c r="B81" t="str">
        <f t="shared" si="3"/>
        <v>1</v>
      </c>
      <c r="C81" t="s">
        <v>80</v>
      </c>
      <c r="D81">
        <v>1565.8</v>
      </c>
      <c r="E81">
        <v>0.1884</v>
      </c>
      <c r="F81">
        <v>0.2678</v>
      </c>
    </row>
    <row r="82" spans="1:7">
      <c r="A82" t="str">
        <f t="shared" si="2"/>
        <v>10.18</v>
      </c>
      <c r="B82" t="str">
        <f t="shared" si="3"/>
        <v>2</v>
      </c>
      <c r="C82" t="s">
        <v>81</v>
      </c>
      <c r="D82">
        <v>55.7</v>
      </c>
      <c r="E82">
        <v>13.8123</v>
      </c>
      <c r="F82">
        <v>4.043</v>
      </c>
    </row>
    <row r="83" spans="1:7">
      <c r="A83" t="str">
        <f t="shared" si="2"/>
        <v>10.20</v>
      </c>
      <c r="B83" t="str">
        <f t="shared" si="3"/>
        <v>2</v>
      </c>
      <c r="C83" t="s">
        <v>82</v>
      </c>
      <c r="D83">
        <v>91</v>
      </c>
      <c r="E83">
        <v>10.6615</v>
      </c>
      <c r="F83">
        <v>3.4648</v>
      </c>
    </row>
    <row r="84" spans="1:7">
      <c r="A84" t="str">
        <f t="shared" si="2"/>
        <v>10.21</v>
      </c>
      <c r="B84" t="str">
        <f t="shared" si="3"/>
        <v>2</v>
      </c>
      <c r="C84" t="s">
        <v>83</v>
      </c>
      <c r="D84">
        <v>114.5</v>
      </c>
      <c r="E84">
        <v>9.158</v>
      </c>
      <c r="F84">
        <v>2.9076</v>
      </c>
    </row>
    <row r="85" spans="1:7">
      <c r="A85" t="str">
        <f t="shared" si="2"/>
        <v>10.22</v>
      </c>
      <c r="B85" t="str">
        <f t="shared" si="3"/>
        <v>2</v>
      </c>
      <c r="C85" t="s">
        <v>84</v>
      </c>
      <c r="D85">
        <v>138.5</v>
      </c>
      <c r="E85">
        <v>8.0036</v>
      </c>
      <c r="F85">
        <v>2.3769</v>
      </c>
    </row>
    <row r="86" spans="1:7">
      <c r="A86" t="str">
        <f t="shared" si="2"/>
        <v>10.23</v>
      </c>
      <c r="B86" t="str">
        <f t="shared" si="3"/>
        <v>2</v>
      </c>
      <c r="C86" t="s">
        <v>85</v>
      </c>
      <c r="D86">
        <v>162.5</v>
      </c>
      <c r="E86">
        <v>6.8411</v>
      </c>
      <c r="F86">
        <v>2.2247</v>
      </c>
    </row>
    <row r="87" spans="1:7">
      <c r="A87" t="str">
        <f t="shared" si="2"/>
        <v>10.24</v>
      </c>
      <c r="B87" t="str">
        <f t="shared" si="3"/>
        <v>2</v>
      </c>
      <c r="C87" t="s">
        <v>86</v>
      </c>
      <c r="D87">
        <v>186.5</v>
      </c>
      <c r="E87">
        <v>6.0371</v>
      </c>
      <c r="F87">
        <v>1.846</v>
      </c>
    </row>
    <row r="88" spans="1:7">
      <c r="A88" t="str">
        <f t="shared" si="2"/>
        <v>10.25</v>
      </c>
      <c r="B88" t="str">
        <f t="shared" si="3"/>
        <v>2</v>
      </c>
      <c r="C88" t="s">
        <v>87</v>
      </c>
      <c r="D88">
        <v>210.8</v>
      </c>
      <c r="E88">
        <v>5.0198</v>
      </c>
      <c r="F88">
        <v>1.4744</v>
      </c>
    </row>
    <row r="89" spans="1:7">
      <c r="A89" t="str">
        <f t="shared" si="2"/>
        <v>10.26</v>
      </c>
      <c r="B89" t="str">
        <f t="shared" si="3"/>
        <v>2</v>
      </c>
      <c r="C89" t="s">
        <v>88</v>
      </c>
      <c r="D89">
        <v>235.2</v>
      </c>
      <c r="E89">
        <v>4.2978</v>
      </c>
      <c r="F89">
        <v>1.2844</v>
      </c>
    </row>
    <row r="90" spans="1:7">
      <c r="A90" t="str">
        <f t="shared" si="2"/>
        <v>10.27</v>
      </c>
      <c r="B90" t="str">
        <f t="shared" si="3"/>
        <v>2</v>
      </c>
      <c r="C90" t="s">
        <v>89</v>
      </c>
      <c r="D90">
        <v>259.6</v>
      </c>
      <c r="E90">
        <v>3.6453</v>
      </c>
      <c r="F90">
        <v>1.1663</v>
      </c>
    </row>
    <row r="91" spans="1:7">
      <c r="A91" t="str">
        <f t="shared" si="2"/>
        <v>10.28</v>
      </c>
      <c r="B91" t="str">
        <f t="shared" si="3"/>
        <v>2</v>
      </c>
      <c r="C91" t="s">
        <v>90</v>
      </c>
      <c r="D91">
        <v>283.6</v>
      </c>
      <c r="E91">
        <v>3.2008</v>
      </c>
      <c r="F91">
        <v>0.9104</v>
      </c>
    </row>
    <row r="92" spans="1:7">
      <c r="A92" t="str">
        <f t="shared" si="2"/>
        <v>10.29</v>
      </c>
      <c r="B92" t="str">
        <f t="shared" si="3"/>
        <v>2</v>
      </c>
      <c r="C92" t="s">
        <v>91</v>
      </c>
      <c r="D92">
        <v>307.6</v>
      </c>
      <c r="E92">
        <v>2.7016</v>
      </c>
      <c r="F92">
        <v>0.8464</v>
      </c>
      <c r="G92">
        <v>1</v>
      </c>
    </row>
    <row r="93" spans="1:7">
      <c r="A93" t="str">
        <f t="shared" si="2"/>
        <v>10.30</v>
      </c>
      <c r="B93" t="str">
        <f t="shared" si="3"/>
        <v>2</v>
      </c>
      <c r="C93" t="s">
        <v>92</v>
      </c>
      <c r="D93">
        <v>332.1</v>
      </c>
      <c r="E93">
        <v>2.2638</v>
      </c>
      <c r="F93">
        <v>0.7383</v>
      </c>
      <c r="G93">
        <v>1</v>
      </c>
    </row>
    <row r="94" spans="1:7">
      <c r="A94" t="str">
        <f t="shared" si="2"/>
        <v>10.31</v>
      </c>
      <c r="B94" t="str">
        <f t="shared" si="3"/>
        <v>2</v>
      </c>
      <c r="C94" t="s">
        <v>93</v>
      </c>
      <c r="D94">
        <v>355.1</v>
      </c>
      <c r="E94">
        <v>2.0053</v>
      </c>
      <c r="F94">
        <v>0.6111</v>
      </c>
      <c r="G94">
        <v>1</v>
      </c>
    </row>
    <row r="95" spans="1:7">
      <c r="A95" t="str">
        <f t="shared" si="2"/>
        <v>10.29</v>
      </c>
      <c r="B95" t="str">
        <f t="shared" si="3"/>
        <v>2</v>
      </c>
      <c r="C95" t="s">
        <v>94</v>
      </c>
      <c r="D95">
        <v>309.3</v>
      </c>
      <c r="E95">
        <v>20.1661</v>
      </c>
      <c r="F95">
        <v>14.249</v>
      </c>
      <c r="G95">
        <v>2</v>
      </c>
    </row>
    <row r="96" spans="1:7">
      <c r="A96" t="str">
        <f t="shared" si="2"/>
        <v>10.30</v>
      </c>
      <c r="B96" t="str">
        <f t="shared" si="3"/>
        <v>2</v>
      </c>
      <c r="C96" t="s">
        <v>95</v>
      </c>
      <c r="D96">
        <v>330.3</v>
      </c>
      <c r="E96">
        <v>17.9701</v>
      </c>
      <c r="F96">
        <v>12.0226</v>
      </c>
      <c r="G96">
        <v>2</v>
      </c>
    </row>
    <row r="97" spans="1:7">
      <c r="A97" t="str">
        <f t="shared" si="2"/>
        <v>10.31</v>
      </c>
      <c r="B97" t="str">
        <f t="shared" si="3"/>
        <v>2</v>
      </c>
      <c r="C97" t="s">
        <v>96</v>
      </c>
      <c r="D97">
        <v>356.7</v>
      </c>
      <c r="E97">
        <v>14.752</v>
      </c>
      <c r="F97">
        <v>10.0478</v>
      </c>
      <c r="G97">
        <v>2</v>
      </c>
    </row>
    <row r="98" spans="1:7">
      <c r="A98" t="str">
        <f t="shared" si="2"/>
        <v>11.01</v>
      </c>
      <c r="B98" t="str">
        <f t="shared" si="3"/>
        <v>2</v>
      </c>
      <c r="C98" t="s">
        <v>97</v>
      </c>
      <c r="D98">
        <v>378.4</v>
      </c>
      <c r="E98">
        <v>13.3322</v>
      </c>
      <c r="F98">
        <v>9.3733</v>
      </c>
    </row>
    <row r="99" spans="1:7">
      <c r="A99" t="str">
        <f t="shared" si="2"/>
        <v>11.02</v>
      </c>
      <c r="B99" t="str">
        <f t="shared" si="3"/>
        <v>2</v>
      </c>
      <c r="C99" t="s">
        <v>98</v>
      </c>
      <c r="D99">
        <v>402.5</v>
      </c>
      <c r="E99">
        <v>11.4678</v>
      </c>
      <c r="F99">
        <v>7.7004</v>
      </c>
    </row>
    <row r="100" spans="1:7">
      <c r="A100" t="str">
        <f t="shared" si="2"/>
        <v>11.03</v>
      </c>
      <c r="B100" t="str">
        <f t="shared" si="3"/>
        <v>2</v>
      </c>
      <c r="C100" t="s">
        <v>99</v>
      </c>
      <c r="D100">
        <v>426.5</v>
      </c>
      <c r="E100">
        <v>9.5408</v>
      </c>
      <c r="F100">
        <v>6.7774</v>
      </c>
    </row>
    <row r="101" spans="1:7">
      <c r="A101" t="str">
        <f t="shared" si="2"/>
        <v>11.04</v>
      </c>
      <c r="B101" t="str">
        <f t="shared" si="3"/>
        <v>2</v>
      </c>
      <c r="C101" t="s">
        <v>100</v>
      </c>
      <c r="D101">
        <v>450.6</v>
      </c>
      <c r="E101">
        <v>8.2241</v>
      </c>
      <c r="F101">
        <v>5.6449</v>
      </c>
    </row>
    <row r="102" spans="1:7">
      <c r="A102" t="str">
        <f t="shared" si="2"/>
        <v>11.05</v>
      </c>
      <c r="B102" t="str">
        <f t="shared" si="3"/>
        <v>2</v>
      </c>
      <c r="C102" t="s">
        <v>101</v>
      </c>
      <c r="D102">
        <v>475.2</v>
      </c>
      <c r="E102">
        <v>7.0881</v>
      </c>
      <c r="F102">
        <v>4.7246</v>
      </c>
    </row>
    <row r="103" spans="1:7">
      <c r="A103" t="str">
        <f t="shared" si="2"/>
        <v>11.06</v>
      </c>
      <c r="B103" t="str">
        <f t="shared" si="3"/>
        <v>2</v>
      </c>
      <c r="C103" t="s">
        <v>102</v>
      </c>
      <c r="D103">
        <v>498.7</v>
      </c>
      <c r="E103">
        <v>5.9446</v>
      </c>
      <c r="F103">
        <v>4.0361</v>
      </c>
    </row>
    <row r="104" spans="1:7">
      <c r="A104" t="str">
        <f t="shared" si="2"/>
        <v>11.07</v>
      </c>
      <c r="B104" t="str">
        <f t="shared" si="3"/>
        <v>2</v>
      </c>
      <c r="C104" t="s">
        <v>103</v>
      </c>
      <c r="D104">
        <v>522.8</v>
      </c>
      <c r="E104">
        <v>5.0904</v>
      </c>
      <c r="F104">
        <v>3.5241</v>
      </c>
    </row>
    <row r="105" spans="1:7">
      <c r="A105" t="str">
        <f t="shared" si="2"/>
        <v>11.08</v>
      </c>
      <c r="B105" t="str">
        <f t="shared" si="3"/>
        <v>2</v>
      </c>
      <c r="C105" t="s">
        <v>104</v>
      </c>
      <c r="D105">
        <v>546.9</v>
      </c>
      <c r="E105">
        <v>4.4125</v>
      </c>
      <c r="F105">
        <v>3.0244</v>
      </c>
    </row>
    <row r="106" spans="1:7">
      <c r="A106" t="str">
        <f t="shared" si="2"/>
        <v>11.09</v>
      </c>
      <c r="B106" t="str">
        <f t="shared" si="3"/>
        <v>2</v>
      </c>
      <c r="C106" t="s">
        <v>105</v>
      </c>
      <c r="D106">
        <v>571.9</v>
      </c>
      <c r="E106">
        <v>3.6608</v>
      </c>
      <c r="F106">
        <v>2.5278</v>
      </c>
    </row>
    <row r="107" spans="1:7">
      <c r="A107" t="str">
        <f t="shared" si="2"/>
        <v>11.10</v>
      </c>
      <c r="B107" t="str">
        <f t="shared" si="3"/>
        <v>2</v>
      </c>
      <c r="C107" t="s">
        <v>106</v>
      </c>
      <c r="D107">
        <v>595.2</v>
      </c>
      <c r="E107">
        <v>3.2158</v>
      </c>
      <c r="F107">
        <v>2.2424</v>
      </c>
      <c r="G107">
        <v>1</v>
      </c>
    </row>
    <row r="108" spans="1:7">
      <c r="A108" t="str">
        <f t="shared" si="2"/>
        <v>11.11</v>
      </c>
      <c r="B108" t="str">
        <f t="shared" si="3"/>
        <v>2</v>
      </c>
      <c r="C108" t="s">
        <v>107</v>
      </c>
      <c r="D108">
        <v>619.8</v>
      </c>
      <c r="E108">
        <v>2.7456</v>
      </c>
      <c r="F108">
        <v>1.9084</v>
      </c>
      <c r="G108">
        <v>1</v>
      </c>
    </row>
    <row r="109" spans="1:7">
      <c r="A109" t="str">
        <f t="shared" si="2"/>
        <v>11.12</v>
      </c>
      <c r="B109" t="str">
        <f t="shared" si="3"/>
        <v>2</v>
      </c>
      <c r="C109" t="s">
        <v>108</v>
      </c>
      <c r="D109">
        <v>647</v>
      </c>
      <c r="E109">
        <v>2.2432</v>
      </c>
      <c r="F109">
        <v>1.6649</v>
      </c>
      <c r="G109">
        <v>1</v>
      </c>
    </row>
    <row r="110" spans="1:7">
      <c r="A110" t="str">
        <f t="shared" si="2"/>
        <v>11.13</v>
      </c>
      <c r="B110" t="str">
        <f t="shared" si="3"/>
        <v>2</v>
      </c>
      <c r="C110" t="s">
        <v>109</v>
      </c>
      <c r="D110">
        <v>668.6</v>
      </c>
      <c r="E110">
        <v>1.9242</v>
      </c>
      <c r="F110">
        <v>1.3865</v>
      </c>
      <c r="G110">
        <v>1</v>
      </c>
    </row>
    <row r="111" spans="1:7">
      <c r="A111" t="str">
        <f t="shared" si="2"/>
        <v>11.14</v>
      </c>
      <c r="B111" t="str">
        <f t="shared" si="3"/>
        <v>2</v>
      </c>
      <c r="C111" t="s">
        <v>110</v>
      </c>
      <c r="D111">
        <v>691.3</v>
      </c>
      <c r="E111">
        <v>1.6251</v>
      </c>
      <c r="F111">
        <v>1.1878</v>
      </c>
      <c r="G111">
        <v>1</v>
      </c>
    </row>
    <row r="112" spans="1:7">
      <c r="A112" t="str">
        <f t="shared" si="2"/>
        <v>11.15</v>
      </c>
      <c r="B112" t="str">
        <f t="shared" si="3"/>
        <v>2</v>
      </c>
      <c r="C112" t="s">
        <v>111</v>
      </c>
      <c r="D112">
        <v>716.2</v>
      </c>
      <c r="E112">
        <v>1.4724</v>
      </c>
      <c r="F112">
        <v>1.0911</v>
      </c>
      <c r="G112">
        <v>1</v>
      </c>
    </row>
    <row r="113" spans="1:7">
      <c r="A113" t="str">
        <f t="shared" si="2"/>
        <v>11.10</v>
      </c>
      <c r="B113" t="str">
        <f t="shared" si="3"/>
        <v>2</v>
      </c>
      <c r="C113" t="s">
        <v>112</v>
      </c>
      <c r="D113">
        <v>598.4</v>
      </c>
      <c r="E113">
        <v>32.3661</v>
      </c>
      <c r="F113">
        <v>28.1956</v>
      </c>
      <c r="G113">
        <v>2</v>
      </c>
    </row>
    <row r="114" spans="1:7">
      <c r="A114" t="str">
        <f t="shared" si="2"/>
        <v>11.11</v>
      </c>
      <c r="B114" t="str">
        <f t="shared" si="3"/>
        <v>2</v>
      </c>
      <c r="C114" t="s">
        <v>113</v>
      </c>
      <c r="D114">
        <v>619.3</v>
      </c>
      <c r="E114">
        <v>28.517</v>
      </c>
      <c r="F114">
        <v>24.56</v>
      </c>
      <c r="G114">
        <v>2</v>
      </c>
    </row>
    <row r="115" spans="1:7">
      <c r="A115" t="str">
        <f t="shared" si="2"/>
        <v>11.12</v>
      </c>
      <c r="B115" t="str">
        <f t="shared" si="3"/>
        <v>2</v>
      </c>
      <c r="C115" t="s">
        <v>114</v>
      </c>
      <c r="D115">
        <v>645.4</v>
      </c>
      <c r="E115">
        <v>23.144</v>
      </c>
      <c r="F115">
        <v>20.9589</v>
      </c>
      <c r="G115">
        <v>2</v>
      </c>
    </row>
    <row r="116" spans="1:7">
      <c r="A116" t="str">
        <f t="shared" si="2"/>
        <v>11.13</v>
      </c>
      <c r="B116" t="str">
        <f t="shared" si="3"/>
        <v>2</v>
      </c>
      <c r="C116" t="s">
        <v>115</v>
      </c>
      <c r="D116">
        <v>666.8</v>
      </c>
      <c r="E116">
        <v>19.6393</v>
      </c>
      <c r="F116">
        <v>18.8048</v>
      </c>
      <c r="G116">
        <v>2</v>
      </c>
    </row>
    <row r="117" spans="1:7">
      <c r="A117" t="str">
        <f t="shared" si="2"/>
        <v>11.14</v>
      </c>
      <c r="B117" t="str">
        <f t="shared" si="3"/>
        <v>2</v>
      </c>
      <c r="C117" t="s">
        <v>116</v>
      </c>
      <c r="D117">
        <v>693.1</v>
      </c>
      <c r="E117">
        <v>17.3286</v>
      </c>
      <c r="F117">
        <v>15.3862</v>
      </c>
      <c r="G117">
        <v>2</v>
      </c>
    </row>
    <row r="118" spans="1:7">
      <c r="A118" t="str">
        <f t="shared" si="2"/>
        <v>11.15</v>
      </c>
      <c r="B118" t="str">
        <f t="shared" si="3"/>
        <v>2</v>
      </c>
      <c r="C118" t="s">
        <v>117</v>
      </c>
      <c r="D118">
        <v>714.3</v>
      </c>
      <c r="E118">
        <v>15.2722</v>
      </c>
      <c r="F118">
        <v>13.4048</v>
      </c>
      <c r="G118">
        <v>2</v>
      </c>
    </row>
    <row r="119" spans="1:7">
      <c r="A119" t="str">
        <f t="shared" si="2"/>
        <v>11.16</v>
      </c>
      <c r="B119" t="str">
        <f t="shared" si="3"/>
        <v>2</v>
      </c>
      <c r="C119" t="s">
        <v>118</v>
      </c>
      <c r="D119">
        <v>740.6</v>
      </c>
      <c r="E119">
        <v>12.2672</v>
      </c>
      <c r="F119">
        <v>11.5758</v>
      </c>
    </row>
    <row r="120" spans="1:7">
      <c r="A120" t="str">
        <f t="shared" si="2"/>
        <v>11.17</v>
      </c>
      <c r="B120" t="str">
        <f t="shared" si="3"/>
        <v>2</v>
      </c>
      <c r="C120" t="s">
        <v>119</v>
      </c>
      <c r="D120">
        <v>762.7</v>
      </c>
      <c r="E120">
        <v>10.075</v>
      </c>
      <c r="F120">
        <v>10.0367</v>
      </c>
    </row>
    <row r="121" spans="1:7">
      <c r="A121" t="str">
        <f t="shared" si="2"/>
        <v>11.18</v>
      </c>
      <c r="B121" t="str">
        <f t="shared" si="3"/>
        <v>2</v>
      </c>
      <c r="C121" t="s">
        <v>120</v>
      </c>
      <c r="D121">
        <v>786.5</v>
      </c>
      <c r="E121">
        <v>8.6074</v>
      </c>
      <c r="F121">
        <v>8.618</v>
      </c>
    </row>
    <row r="122" spans="1:7">
      <c r="A122" t="str">
        <f t="shared" si="2"/>
        <v>11.19</v>
      </c>
      <c r="B122" t="str">
        <f t="shared" si="3"/>
        <v>2</v>
      </c>
      <c r="C122" t="s">
        <v>121</v>
      </c>
      <c r="D122">
        <v>811.2</v>
      </c>
      <c r="E122">
        <v>7.7866</v>
      </c>
      <c r="F122">
        <v>7.426</v>
      </c>
    </row>
    <row r="123" spans="1:7">
      <c r="A123" t="str">
        <f t="shared" si="2"/>
        <v>11.20</v>
      </c>
      <c r="B123" t="str">
        <f t="shared" si="3"/>
        <v>2</v>
      </c>
      <c r="C123" t="s">
        <v>122</v>
      </c>
      <c r="D123">
        <v>834.3</v>
      </c>
      <c r="E123">
        <v>6.9594</v>
      </c>
      <c r="F123">
        <v>6.0055</v>
      </c>
    </row>
    <row r="124" spans="1:7">
      <c r="A124" t="str">
        <f t="shared" si="2"/>
        <v>11.21</v>
      </c>
      <c r="B124" t="str">
        <f t="shared" si="3"/>
        <v>2</v>
      </c>
      <c r="C124" t="s">
        <v>123</v>
      </c>
      <c r="D124">
        <v>858.5</v>
      </c>
      <c r="E124">
        <v>5.9171</v>
      </c>
      <c r="F124">
        <v>5.2688</v>
      </c>
    </row>
    <row r="125" spans="1:7">
      <c r="A125" t="str">
        <f t="shared" si="2"/>
        <v>11.22</v>
      </c>
      <c r="B125" t="str">
        <f t="shared" si="3"/>
        <v>2</v>
      </c>
      <c r="C125" t="s">
        <v>124</v>
      </c>
      <c r="D125">
        <v>884.4</v>
      </c>
      <c r="E125">
        <v>4.8827</v>
      </c>
      <c r="F125">
        <v>4.3354</v>
      </c>
    </row>
    <row r="126" spans="1:7">
      <c r="A126" t="str">
        <f t="shared" si="2"/>
        <v>11.23</v>
      </c>
      <c r="B126" t="str">
        <f t="shared" si="3"/>
        <v>2</v>
      </c>
      <c r="C126" t="s">
        <v>125</v>
      </c>
      <c r="D126">
        <v>910.6</v>
      </c>
      <c r="E126">
        <v>4.2913</v>
      </c>
      <c r="F126">
        <v>3.8844</v>
      </c>
    </row>
    <row r="127" spans="1:7">
      <c r="A127" t="str">
        <f t="shared" si="2"/>
        <v>11.24</v>
      </c>
      <c r="B127" t="str">
        <f t="shared" si="3"/>
        <v>2</v>
      </c>
      <c r="C127" t="s">
        <v>126</v>
      </c>
      <c r="D127">
        <v>930.8</v>
      </c>
      <c r="E127">
        <v>3.7597</v>
      </c>
      <c r="F127">
        <v>3.3931</v>
      </c>
    </row>
    <row r="128" spans="1:7">
      <c r="A128" t="str">
        <f t="shared" si="2"/>
        <v>11.25</v>
      </c>
      <c r="B128" t="str">
        <f t="shared" si="3"/>
        <v>2</v>
      </c>
      <c r="C128" t="s">
        <v>127</v>
      </c>
      <c r="D128">
        <v>954.9</v>
      </c>
      <c r="E128">
        <v>3.0885</v>
      </c>
      <c r="F128">
        <v>2.9233</v>
      </c>
      <c r="G128">
        <v>1</v>
      </c>
    </row>
    <row r="129" spans="1:7">
      <c r="A129" t="str">
        <f t="shared" ref="A129:A192" si="4">LEFT(C129,FIND("_",C129)-1)</f>
        <v>11.26</v>
      </c>
      <c r="B129" t="str">
        <f t="shared" ref="B129:B192" si="5">MID(C129,FIND("_",C129)+1,FIND("_",C129,FIND("_",C129)+1)-FIND("_",C129)-1)</f>
        <v>2</v>
      </c>
      <c r="C129" t="s">
        <v>128</v>
      </c>
      <c r="D129">
        <v>980.1</v>
      </c>
      <c r="E129">
        <v>2.7037</v>
      </c>
      <c r="F129">
        <v>2.3946</v>
      </c>
      <c r="G129">
        <v>1</v>
      </c>
    </row>
    <row r="130" spans="1:7">
      <c r="A130" t="str">
        <f t="shared" si="4"/>
        <v>11.27</v>
      </c>
      <c r="B130" t="str">
        <f t="shared" si="5"/>
        <v>2</v>
      </c>
      <c r="C130" t="s">
        <v>129</v>
      </c>
      <c r="D130">
        <v>1003.1</v>
      </c>
      <c r="E130">
        <v>2.2371</v>
      </c>
      <c r="F130">
        <v>2.1265</v>
      </c>
      <c r="G130">
        <v>1</v>
      </c>
    </row>
    <row r="131" spans="1:7">
      <c r="A131" t="str">
        <f t="shared" si="4"/>
        <v>11.28</v>
      </c>
      <c r="B131" t="str">
        <f t="shared" si="5"/>
        <v>2</v>
      </c>
      <c r="C131" t="s">
        <v>130</v>
      </c>
      <c r="D131">
        <v>1028.6</v>
      </c>
      <c r="E131">
        <v>1.9427</v>
      </c>
      <c r="F131">
        <v>1.7777</v>
      </c>
      <c r="G131">
        <v>1</v>
      </c>
    </row>
    <row r="132" spans="1:7">
      <c r="A132" t="str">
        <f t="shared" si="4"/>
        <v>11.25</v>
      </c>
      <c r="B132" t="str">
        <f t="shared" si="5"/>
        <v>2</v>
      </c>
      <c r="C132" t="s">
        <v>131</v>
      </c>
      <c r="D132">
        <v>955.8</v>
      </c>
      <c r="E132">
        <v>9.3495</v>
      </c>
      <c r="F132">
        <v>8.7072</v>
      </c>
      <c r="G132">
        <v>2</v>
      </c>
    </row>
    <row r="133" spans="1:7">
      <c r="A133" t="str">
        <f t="shared" si="4"/>
        <v>11.26</v>
      </c>
      <c r="B133" t="str">
        <f t="shared" si="5"/>
        <v>2</v>
      </c>
      <c r="C133" t="s">
        <v>132</v>
      </c>
      <c r="D133">
        <v>978.6</v>
      </c>
      <c r="E133">
        <v>8.0534</v>
      </c>
      <c r="F133">
        <v>7.618</v>
      </c>
      <c r="G133">
        <v>2</v>
      </c>
    </row>
    <row r="134" spans="1:7">
      <c r="A134" t="str">
        <f t="shared" si="4"/>
        <v>11.27</v>
      </c>
      <c r="B134" t="str">
        <f t="shared" si="5"/>
        <v>2</v>
      </c>
      <c r="C134" t="s">
        <v>133</v>
      </c>
      <c r="D134">
        <v>1004.5</v>
      </c>
      <c r="E134">
        <v>6.9757</v>
      </c>
      <c r="F134">
        <v>6.4746</v>
      </c>
      <c r="G134">
        <v>2</v>
      </c>
    </row>
    <row r="135" spans="1:7">
      <c r="A135" t="str">
        <f t="shared" si="4"/>
        <v>11.28</v>
      </c>
      <c r="B135" t="str">
        <f t="shared" si="5"/>
        <v>2</v>
      </c>
      <c r="C135" t="s">
        <v>134</v>
      </c>
      <c r="D135">
        <v>1027.1</v>
      </c>
      <c r="E135">
        <v>5.8525</v>
      </c>
      <c r="F135">
        <v>5.2611</v>
      </c>
      <c r="G135">
        <v>2</v>
      </c>
    </row>
    <row r="136" spans="1:7">
      <c r="A136" t="str">
        <f t="shared" si="4"/>
        <v>11.29</v>
      </c>
      <c r="B136" t="str">
        <f t="shared" si="5"/>
        <v>2</v>
      </c>
      <c r="C136" t="s">
        <v>135</v>
      </c>
      <c r="D136">
        <v>1051.4</v>
      </c>
      <c r="E136">
        <v>5.0646</v>
      </c>
      <c r="F136">
        <v>4.7786</v>
      </c>
    </row>
    <row r="137" spans="1:7">
      <c r="A137" t="str">
        <f t="shared" si="4"/>
        <v>11.30</v>
      </c>
      <c r="B137" t="str">
        <f t="shared" si="5"/>
        <v>2</v>
      </c>
      <c r="C137" t="s">
        <v>136</v>
      </c>
      <c r="D137">
        <v>1078.7</v>
      </c>
      <c r="E137">
        <v>4.1184</v>
      </c>
      <c r="F137">
        <v>3.9617</v>
      </c>
    </row>
    <row r="138" spans="1:7">
      <c r="A138" t="str">
        <f t="shared" si="4"/>
        <v>12.01</v>
      </c>
      <c r="B138" t="str">
        <f t="shared" si="5"/>
        <v>2</v>
      </c>
      <c r="C138" t="s">
        <v>137</v>
      </c>
      <c r="D138">
        <v>1100.6</v>
      </c>
      <c r="E138">
        <v>3.5286</v>
      </c>
      <c r="F138">
        <v>3.5564</v>
      </c>
    </row>
    <row r="139" spans="1:7">
      <c r="A139" t="str">
        <f t="shared" si="4"/>
        <v>12.02</v>
      </c>
      <c r="B139" t="str">
        <f t="shared" si="5"/>
        <v>2</v>
      </c>
      <c r="C139" t="s">
        <v>138</v>
      </c>
      <c r="D139">
        <v>1124.1</v>
      </c>
      <c r="E139">
        <v>3.072</v>
      </c>
      <c r="F139">
        <v>2.8566</v>
      </c>
      <c r="G139">
        <v>1</v>
      </c>
    </row>
    <row r="140" spans="1:7">
      <c r="A140" t="str">
        <f t="shared" si="4"/>
        <v>12.03</v>
      </c>
      <c r="B140" t="str">
        <f t="shared" si="5"/>
        <v>2</v>
      </c>
      <c r="C140" t="s">
        <v>139</v>
      </c>
      <c r="D140">
        <v>1149</v>
      </c>
      <c r="E140">
        <v>2.6407</v>
      </c>
      <c r="F140">
        <v>2.4715</v>
      </c>
      <c r="G140">
        <v>1</v>
      </c>
    </row>
    <row r="141" spans="1:7">
      <c r="A141" t="str">
        <f t="shared" si="4"/>
        <v>12.04</v>
      </c>
      <c r="B141" t="str">
        <f t="shared" si="5"/>
        <v>2</v>
      </c>
      <c r="C141" t="s">
        <v>140</v>
      </c>
      <c r="D141">
        <v>1172.3</v>
      </c>
      <c r="E141">
        <v>2.226</v>
      </c>
      <c r="F141">
        <v>2.0895</v>
      </c>
      <c r="G141">
        <v>1</v>
      </c>
    </row>
    <row r="142" spans="1:7">
      <c r="A142" t="str">
        <f t="shared" si="4"/>
        <v>12.05</v>
      </c>
      <c r="B142" t="str">
        <f t="shared" si="5"/>
        <v>2</v>
      </c>
      <c r="C142" t="s">
        <v>141</v>
      </c>
      <c r="D142">
        <v>1197.3</v>
      </c>
      <c r="E142">
        <v>1.8693</v>
      </c>
      <c r="F142">
        <v>1.966</v>
      </c>
      <c r="G142">
        <v>1</v>
      </c>
    </row>
    <row r="143" spans="1:7">
      <c r="A143" t="str">
        <f t="shared" si="4"/>
        <v>12.02</v>
      </c>
      <c r="B143" t="str">
        <f t="shared" si="5"/>
        <v>2</v>
      </c>
      <c r="C143" t="s">
        <v>142</v>
      </c>
      <c r="D143">
        <v>1125.9</v>
      </c>
      <c r="E143">
        <v>6.4235</v>
      </c>
      <c r="F143">
        <v>6.514</v>
      </c>
      <c r="G143">
        <v>2</v>
      </c>
    </row>
    <row r="144" spans="1:7">
      <c r="A144" t="str">
        <f t="shared" si="4"/>
        <v>12.03</v>
      </c>
      <c r="B144" t="str">
        <f t="shared" si="5"/>
        <v>2</v>
      </c>
      <c r="C144" t="s">
        <v>143</v>
      </c>
      <c r="D144">
        <v>1147.3</v>
      </c>
      <c r="E144">
        <v>5.6945</v>
      </c>
      <c r="F144">
        <v>5.3442</v>
      </c>
      <c r="G144">
        <v>2</v>
      </c>
    </row>
    <row r="145" spans="1:7">
      <c r="A145" t="str">
        <f t="shared" si="4"/>
        <v>12.04</v>
      </c>
      <c r="B145" t="str">
        <f t="shared" si="5"/>
        <v>2</v>
      </c>
      <c r="C145" t="s">
        <v>144</v>
      </c>
      <c r="D145">
        <v>1173.7</v>
      </c>
      <c r="E145">
        <v>4.4758</v>
      </c>
      <c r="F145">
        <v>4.7954</v>
      </c>
      <c r="G145">
        <v>2</v>
      </c>
    </row>
    <row r="146" spans="1:7">
      <c r="A146" t="str">
        <f t="shared" si="4"/>
        <v>12.05</v>
      </c>
      <c r="B146" t="str">
        <f t="shared" si="5"/>
        <v>2</v>
      </c>
      <c r="C146" t="s">
        <v>145</v>
      </c>
      <c r="D146">
        <v>1195.6</v>
      </c>
      <c r="E146">
        <v>4.0927</v>
      </c>
      <c r="F146">
        <v>4.0673</v>
      </c>
      <c r="G146">
        <v>2</v>
      </c>
    </row>
    <row r="147" spans="1:7">
      <c r="A147" t="str">
        <f t="shared" si="4"/>
        <v>12.06</v>
      </c>
      <c r="B147" t="str">
        <f t="shared" si="5"/>
        <v>2</v>
      </c>
      <c r="C147" t="s">
        <v>146</v>
      </c>
      <c r="D147">
        <v>1220.5</v>
      </c>
      <c r="E147">
        <v>3.5148</v>
      </c>
      <c r="F147">
        <v>3.4455</v>
      </c>
    </row>
    <row r="148" spans="1:7">
      <c r="A148" t="str">
        <f t="shared" si="4"/>
        <v>12.07</v>
      </c>
      <c r="B148" t="str">
        <f t="shared" si="5"/>
        <v>2</v>
      </c>
      <c r="C148" t="s">
        <v>147</v>
      </c>
      <c r="D148">
        <v>1244.7</v>
      </c>
      <c r="E148">
        <v>2.9549</v>
      </c>
      <c r="F148">
        <v>2.7083</v>
      </c>
    </row>
    <row r="149" spans="1:7">
      <c r="A149" t="str">
        <f t="shared" si="4"/>
        <v>12.08</v>
      </c>
      <c r="B149" t="str">
        <f t="shared" si="5"/>
        <v>2</v>
      </c>
      <c r="C149" t="s">
        <v>148</v>
      </c>
      <c r="D149">
        <v>1268.5</v>
      </c>
      <c r="E149">
        <v>2.4387</v>
      </c>
      <c r="F149">
        <v>2.3298</v>
      </c>
    </row>
    <row r="150" spans="1:7">
      <c r="A150" t="str">
        <f t="shared" si="4"/>
        <v>12.09</v>
      </c>
      <c r="B150" t="str">
        <f t="shared" si="5"/>
        <v>2</v>
      </c>
      <c r="C150" t="s">
        <v>149</v>
      </c>
      <c r="D150">
        <v>1293.2</v>
      </c>
      <c r="E150">
        <v>2.0991</v>
      </c>
      <c r="F150">
        <v>1.9721</v>
      </c>
    </row>
    <row r="151" spans="1:7">
      <c r="A151" t="str">
        <f t="shared" si="4"/>
        <v>12.10</v>
      </c>
      <c r="B151" t="str">
        <f t="shared" si="5"/>
        <v>2</v>
      </c>
      <c r="C151" t="s">
        <v>150</v>
      </c>
      <c r="D151">
        <v>1316.2</v>
      </c>
      <c r="E151">
        <v>1.7526</v>
      </c>
      <c r="F151">
        <v>1.717</v>
      </c>
    </row>
    <row r="152" spans="1:7">
      <c r="A152" t="str">
        <f t="shared" si="4"/>
        <v>12.11</v>
      </c>
      <c r="B152" t="str">
        <f t="shared" si="5"/>
        <v>2</v>
      </c>
      <c r="C152" t="s">
        <v>151</v>
      </c>
      <c r="D152">
        <v>1341.4</v>
      </c>
      <c r="E152">
        <v>1.4016</v>
      </c>
      <c r="F152">
        <v>1.6834</v>
      </c>
    </row>
    <row r="153" spans="1:7">
      <c r="A153" t="str">
        <f t="shared" si="4"/>
        <v>12.12</v>
      </c>
      <c r="B153" t="str">
        <f t="shared" si="5"/>
        <v>2</v>
      </c>
      <c r="C153" t="s">
        <v>152</v>
      </c>
      <c r="D153">
        <v>1365.3</v>
      </c>
      <c r="E153">
        <v>1.2206</v>
      </c>
      <c r="F153">
        <v>1.4328</v>
      </c>
    </row>
    <row r="154" spans="1:7">
      <c r="A154" t="str">
        <f t="shared" si="4"/>
        <v>12.13</v>
      </c>
      <c r="B154" t="str">
        <f t="shared" si="5"/>
        <v>2</v>
      </c>
      <c r="C154" t="s">
        <v>153</v>
      </c>
      <c r="D154">
        <v>1390.4</v>
      </c>
      <c r="E154">
        <v>1.0252</v>
      </c>
      <c r="F154">
        <v>1.1128</v>
      </c>
    </row>
    <row r="155" spans="1:7">
      <c r="A155" t="str">
        <f t="shared" si="4"/>
        <v>12.14</v>
      </c>
      <c r="B155" t="str">
        <f t="shared" si="5"/>
        <v>2</v>
      </c>
      <c r="C155" t="s">
        <v>154</v>
      </c>
      <c r="D155">
        <v>1419.4</v>
      </c>
      <c r="E155">
        <v>0.7897</v>
      </c>
      <c r="F155">
        <v>0.9273</v>
      </c>
    </row>
    <row r="156" spans="1:7">
      <c r="A156" t="str">
        <f t="shared" si="4"/>
        <v>12.15</v>
      </c>
      <c r="B156" t="str">
        <f t="shared" si="5"/>
        <v>2</v>
      </c>
      <c r="C156" t="s">
        <v>155</v>
      </c>
      <c r="D156">
        <v>1432</v>
      </c>
      <c r="E156">
        <v>0.7188</v>
      </c>
      <c r="F156">
        <v>0.8637</v>
      </c>
    </row>
    <row r="157" spans="1:7">
      <c r="A157" t="str">
        <f t="shared" si="4"/>
        <v>12.16</v>
      </c>
      <c r="B157" t="str">
        <f t="shared" si="5"/>
        <v>2</v>
      </c>
      <c r="C157" t="s">
        <v>156</v>
      </c>
      <c r="D157">
        <v>1468.2</v>
      </c>
      <c r="E157">
        <v>0.5559</v>
      </c>
      <c r="F157">
        <v>0.7183</v>
      </c>
    </row>
    <row r="158" spans="1:7">
      <c r="A158" t="str">
        <f t="shared" si="4"/>
        <v>12.17</v>
      </c>
      <c r="B158" t="str">
        <f t="shared" si="5"/>
        <v>2</v>
      </c>
      <c r="C158" t="s">
        <v>157</v>
      </c>
      <c r="D158">
        <v>1487.1</v>
      </c>
      <c r="E158">
        <v>0.4384</v>
      </c>
      <c r="F158">
        <v>0.6703</v>
      </c>
    </row>
    <row r="159" spans="1:7">
      <c r="A159" t="str">
        <f t="shared" si="4"/>
        <v>12.18</v>
      </c>
      <c r="B159" t="str">
        <f t="shared" si="5"/>
        <v>2</v>
      </c>
      <c r="C159" t="s">
        <v>158</v>
      </c>
      <c r="D159">
        <v>1516.7</v>
      </c>
      <c r="E159">
        <v>0.3426</v>
      </c>
      <c r="F159">
        <v>0.4989</v>
      </c>
    </row>
    <row r="160" spans="1:7">
      <c r="A160" t="str">
        <f t="shared" si="4"/>
        <v>12.19</v>
      </c>
      <c r="B160" t="str">
        <f t="shared" si="5"/>
        <v>2</v>
      </c>
      <c r="C160" t="s">
        <v>159</v>
      </c>
      <c r="D160">
        <v>1527.6</v>
      </c>
      <c r="E160">
        <v>0.3337</v>
      </c>
      <c r="F160">
        <v>0.3429</v>
      </c>
    </row>
    <row r="161" spans="1:7">
      <c r="A161" t="str">
        <f t="shared" si="4"/>
        <v>12.20</v>
      </c>
      <c r="B161" t="str">
        <f t="shared" si="5"/>
        <v>2</v>
      </c>
      <c r="C161" t="s">
        <v>160</v>
      </c>
      <c r="D161">
        <v>1566.8</v>
      </c>
      <c r="E161">
        <v>0.1637</v>
      </c>
      <c r="F161">
        <v>0.2723</v>
      </c>
    </row>
    <row r="162" spans="1:7">
      <c r="A162" t="str">
        <f t="shared" si="4"/>
        <v>10.18</v>
      </c>
      <c r="B162" t="str">
        <f t="shared" si="5"/>
        <v>3</v>
      </c>
      <c r="C162" t="s">
        <v>161</v>
      </c>
      <c r="D162">
        <v>56.2</v>
      </c>
      <c r="E162">
        <v>14.0641</v>
      </c>
      <c r="F162">
        <v>4.0998</v>
      </c>
    </row>
    <row r="163" spans="1:7">
      <c r="A163" t="str">
        <f t="shared" si="4"/>
        <v>10.20</v>
      </c>
      <c r="B163" t="str">
        <f t="shared" si="5"/>
        <v>3</v>
      </c>
      <c r="C163" t="s">
        <v>162</v>
      </c>
      <c r="D163">
        <v>91.3</v>
      </c>
      <c r="E163">
        <v>10.8812</v>
      </c>
      <c r="F163">
        <v>3.356</v>
      </c>
    </row>
    <row r="164" spans="1:7">
      <c r="A164" t="str">
        <f t="shared" si="4"/>
        <v>10.21</v>
      </c>
      <c r="B164" t="str">
        <f t="shared" si="5"/>
        <v>3</v>
      </c>
      <c r="C164" t="s">
        <v>163</v>
      </c>
      <c r="D164">
        <v>114.8</v>
      </c>
      <c r="E164">
        <v>9.4603</v>
      </c>
      <c r="F164">
        <v>2.9646</v>
      </c>
    </row>
    <row r="165" spans="1:7">
      <c r="A165" t="str">
        <f t="shared" si="4"/>
        <v>10.22</v>
      </c>
      <c r="B165" t="str">
        <f t="shared" si="5"/>
        <v>3</v>
      </c>
      <c r="C165" t="s">
        <v>164</v>
      </c>
      <c r="D165">
        <v>138.7</v>
      </c>
      <c r="E165">
        <v>8.1186</v>
      </c>
      <c r="F165">
        <v>2.6057</v>
      </c>
    </row>
    <row r="166" spans="1:7">
      <c r="A166" t="str">
        <f t="shared" si="4"/>
        <v>10.23</v>
      </c>
      <c r="B166" t="str">
        <f t="shared" si="5"/>
        <v>3</v>
      </c>
      <c r="C166" t="s">
        <v>165</v>
      </c>
      <c r="D166">
        <v>162.9</v>
      </c>
      <c r="E166">
        <v>6.7688</v>
      </c>
      <c r="F166">
        <v>2.2551</v>
      </c>
    </row>
    <row r="167" spans="1:7">
      <c r="A167" t="str">
        <f t="shared" si="4"/>
        <v>10.24</v>
      </c>
      <c r="B167" t="str">
        <f t="shared" si="5"/>
        <v>3</v>
      </c>
      <c r="C167" t="s">
        <v>166</v>
      </c>
      <c r="D167">
        <v>186.7</v>
      </c>
      <c r="E167">
        <v>6.1559</v>
      </c>
      <c r="F167">
        <v>1.7572</v>
      </c>
    </row>
    <row r="168" spans="1:7">
      <c r="A168" t="str">
        <f t="shared" si="4"/>
        <v>10.25</v>
      </c>
      <c r="B168" t="str">
        <f t="shared" si="5"/>
        <v>3</v>
      </c>
      <c r="C168" t="s">
        <v>167</v>
      </c>
      <c r="D168">
        <v>211.2</v>
      </c>
      <c r="E168">
        <v>5.0744</v>
      </c>
      <c r="F168">
        <v>1.5851</v>
      </c>
    </row>
    <row r="169" spans="1:7">
      <c r="A169" t="str">
        <f t="shared" si="4"/>
        <v>10.26</v>
      </c>
      <c r="B169" t="str">
        <f t="shared" si="5"/>
        <v>3</v>
      </c>
      <c r="C169" t="s">
        <v>168</v>
      </c>
      <c r="D169">
        <v>235.7</v>
      </c>
      <c r="E169">
        <v>4.2538</v>
      </c>
      <c r="F169">
        <v>1.3632</v>
      </c>
    </row>
    <row r="170" spans="1:7">
      <c r="A170" t="str">
        <f t="shared" si="4"/>
        <v>10.27</v>
      </c>
      <c r="B170" t="str">
        <f t="shared" si="5"/>
        <v>3</v>
      </c>
      <c r="C170" t="s">
        <v>169</v>
      </c>
      <c r="D170">
        <v>260.1</v>
      </c>
      <c r="E170">
        <v>3.6513</v>
      </c>
      <c r="F170">
        <v>1.1325</v>
      </c>
    </row>
    <row r="171" spans="1:7">
      <c r="A171" t="str">
        <f t="shared" si="4"/>
        <v>10.28</v>
      </c>
      <c r="B171" t="str">
        <f t="shared" si="5"/>
        <v>3</v>
      </c>
      <c r="C171" t="s">
        <v>170</v>
      </c>
      <c r="D171">
        <v>284.3</v>
      </c>
      <c r="E171">
        <v>3.026</v>
      </c>
      <c r="F171">
        <v>0.9821</v>
      </c>
    </row>
    <row r="172" spans="1:7">
      <c r="A172" t="str">
        <f t="shared" si="4"/>
        <v>10.29</v>
      </c>
      <c r="B172" t="str">
        <f t="shared" si="5"/>
        <v>3</v>
      </c>
      <c r="C172" t="s">
        <v>171</v>
      </c>
      <c r="D172">
        <v>308.1</v>
      </c>
      <c r="E172">
        <v>2.6744</v>
      </c>
      <c r="F172">
        <v>0.808</v>
      </c>
      <c r="G172">
        <v>1</v>
      </c>
    </row>
    <row r="173" spans="1:7">
      <c r="A173" t="str">
        <f t="shared" si="4"/>
        <v>10.30</v>
      </c>
      <c r="B173" t="str">
        <f t="shared" si="5"/>
        <v>3</v>
      </c>
      <c r="C173" t="s">
        <v>172</v>
      </c>
      <c r="D173">
        <v>331.8</v>
      </c>
      <c r="E173">
        <v>2.2869</v>
      </c>
      <c r="F173">
        <v>0.706</v>
      </c>
      <c r="G173">
        <v>1</v>
      </c>
    </row>
    <row r="174" spans="1:7">
      <c r="A174" t="str">
        <f t="shared" si="4"/>
        <v>10.31</v>
      </c>
      <c r="B174" t="str">
        <f t="shared" si="5"/>
        <v>3</v>
      </c>
      <c r="C174" t="s">
        <v>173</v>
      </c>
      <c r="D174">
        <v>355.6</v>
      </c>
      <c r="E174">
        <v>1.9978</v>
      </c>
      <c r="F174">
        <v>0.6079</v>
      </c>
      <c r="G174">
        <v>1</v>
      </c>
    </row>
    <row r="175" spans="1:7">
      <c r="A175" t="str">
        <f t="shared" si="4"/>
        <v>10.29</v>
      </c>
      <c r="B175" t="str">
        <f t="shared" si="5"/>
        <v>3</v>
      </c>
      <c r="C175" t="s">
        <v>174</v>
      </c>
      <c r="D175">
        <v>309.2</v>
      </c>
      <c r="E175">
        <v>20.9821</v>
      </c>
      <c r="F175">
        <v>14.5046</v>
      </c>
      <c r="G175">
        <v>2</v>
      </c>
    </row>
    <row r="176" spans="1:7">
      <c r="A176" t="str">
        <f t="shared" si="4"/>
        <v>10.30</v>
      </c>
      <c r="B176" t="str">
        <f t="shared" si="5"/>
        <v>3</v>
      </c>
      <c r="C176" t="s">
        <v>175</v>
      </c>
      <c r="D176">
        <v>330.6</v>
      </c>
      <c r="E176">
        <v>17.7485</v>
      </c>
      <c r="F176">
        <v>12.8052</v>
      </c>
      <c r="G176">
        <v>2</v>
      </c>
    </row>
    <row r="177" spans="1:7">
      <c r="A177" t="str">
        <f t="shared" si="4"/>
        <v>10.31</v>
      </c>
      <c r="B177" t="str">
        <f t="shared" si="5"/>
        <v>3</v>
      </c>
      <c r="C177" t="s">
        <v>176</v>
      </c>
      <c r="D177">
        <v>356.5</v>
      </c>
      <c r="E177">
        <v>15.2636</v>
      </c>
      <c r="F177">
        <v>10.2991</v>
      </c>
      <c r="G177">
        <v>2</v>
      </c>
    </row>
    <row r="178" spans="1:7">
      <c r="A178" t="str">
        <f t="shared" si="4"/>
        <v>11.01</v>
      </c>
      <c r="B178" t="str">
        <f t="shared" si="5"/>
        <v>3</v>
      </c>
      <c r="C178" t="s">
        <v>177</v>
      </c>
      <c r="D178">
        <v>378.6</v>
      </c>
      <c r="E178">
        <v>13.1276</v>
      </c>
      <c r="F178">
        <v>9.2286</v>
      </c>
    </row>
    <row r="179" spans="1:7">
      <c r="A179" t="str">
        <f t="shared" si="4"/>
        <v>11.03</v>
      </c>
      <c r="B179" t="str">
        <f t="shared" si="5"/>
        <v>3</v>
      </c>
      <c r="C179" t="s">
        <v>178</v>
      </c>
      <c r="D179">
        <v>426.7</v>
      </c>
      <c r="E179">
        <v>9.7253</v>
      </c>
      <c r="F179">
        <v>6.6814</v>
      </c>
    </row>
    <row r="180" spans="1:7">
      <c r="A180" t="str">
        <f t="shared" si="4"/>
        <v>11.04</v>
      </c>
      <c r="B180" t="str">
        <f t="shared" si="5"/>
        <v>3</v>
      </c>
      <c r="C180" t="s">
        <v>179</v>
      </c>
      <c r="D180">
        <v>453.3</v>
      </c>
      <c r="E180">
        <v>1.0784</v>
      </c>
      <c r="F180">
        <v>0.3336</v>
      </c>
      <c r="G180">
        <v>1</v>
      </c>
    </row>
    <row r="181" spans="1:7">
      <c r="A181" t="str">
        <f t="shared" si="4"/>
        <v>11.05</v>
      </c>
      <c r="B181" t="str">
        <f t="shared" si="5"/>
        <v>3</v>
      </c>
      <c r="C181" t="s">
        <v>180</v>
      </c>
      <c r="D181">
        <v>477.5</v>
      </c>
      <c r="E181">
        <v>0.9089</v>
      </c>
      <c r="F181">
        <v>0.2813</v>
      </c>
      <c r="G181">
        <v>1</v>
      </c>
    </row>
    <row r="182" spans="1:7">
      <c r="A182" t="str">
        <f t="shared" si="4"/>
        <v>11.06</v>
      </c>
      <c r="B182" t="str">
        <f t="shared" si="5"/>
        <v>3</v>
      </c>
      <c r="C182" t="s">
        <v>181</v>
      </c>
      <c r="D182">
        <v>501.6</v>
      </c>
      <c r="E182">
        <v>0.7618</v>
      </c>
      <c r="F182">
        <v>0.2401</v>
      </c>
      <c r="G182">
        <v>1</v>
      </c>
    </row>
    <row r="183" spans="1:7">
      <c r="A183" t="str">
        <f t="shared" si="4"/>
        <v>11.04</v>
      </c>
      <c r="B183" t="str">
        <f t="shared" si="5"/>
        <v>3</v>
      </c>
      <c r="C183" t="s">
        <v>182</v>
      </c>
      <c r="D183">
        <v>450.8</v>
      </c>
      <c r="E183">
        <v>8.377</v>
      </c>
      <c r="F183">
        <v>5.7142</v>
      </c>
      <c r="G183">
        <v>2</v>
      </c>
    </row>
    <row r="184" spans="1:7">
      <c r="A184" t="str">
        <f t="shared" si="4"/>
        <v>11.05</v>
      </c>
      <c r="B184" t="str">
        <f t="shared" si="5"/>
        <v>3</v>
      </c>
      <c r="C184" t="s">
        <v>183</v>
      </c>
      <c r="D184">
        <v>475.4</v>
      </c>
      <c r="E184">
        <v>7.1836</v>
      </c>
      <c r="F184">
        <v>4.7273</v>
      </c>
      <c r="G184">
        <v>2</v>
      </c>
    </row>
    <row r="185" spans="1:7">
      <c r="A185" t="str">
        <f t="shared" si="4"/>
        <v>11.06</v>
      </c>
      <c r="B185" t="str">
        <f t="shared" si="5"/>
        <v>3</v>
      </c>
      <c r="C185" t="s">
        <v>184</v>
      </c>
      <c r="D185">
        <v>499</v>
      </c>
      <c r="E185">
        <v>6.1778</v>
      </c>
      <c r="F185">
        <v>4.3869</v>
      </c>
      <c r="G185">
        <v>2</v>
      </c>
    </row>
    <row r="186" spans="1:7">
      <c r="A186" t="str">
        <f t="shared" si="4"/>
        <v>11.07</v>
      </c>
      <c r="B186" t="str">
        <f t="shared" si="5"/>
        <v>3</v>
      </c>
      <c r="C186" t="s">
        <v>185</v>
      </c>
      <c r="D186">
        <v>523.1</v>
      </c>
      <c r="E186">
        <v>5.1642</v>
      </c>
      <c r="F186">
        <v>3.5172</v>
      </c>
    </row>
    <row r="187" spans="1:7">
      <c r="A187" t="str">
        <f t="shared" si="4"/>
        <v>11.08</v>
      </c>
      <c r="B187" t="str">
        <f t="shared" si="5"/>
        <v>3</v>
      </c>
      <c r="C187" t="s">
        <v>186</v>
      </c>
      <c r="D187">
        <v>547.3</v>
      </c>
      <c r="E187">
        <v>4.463</v>
      </c>
      <c r="F187">
        <v>3.0139</v>
      </c>
    </row>
    <row r="188" spans="1:7">
      <c r="A188" t="str">
        <f t="shared" si="4"/>
        <v>11.09</v>
      </c>
      <c r="B188" t="str">
        <f t="shared" si="5"/>
        <v>3</v>
      </c>
      <c r="C188" t="s">
        <v>187</v>
      </c>
      <c r="D188">
        <v>572.4</v>
      </c>
      <c r="E188">
        <v>3.7255</v>
      </c>
      <c r="F188">
        <v>2.5697</v>
      </c>
    </row>
    <row r="189" spans="1:7">
      <c r="A189" t="str">
        <f t="shared" si="4"/>
        <v>11.10</v>
      </c>
      <c r="B189" t="str">
        <f t="shared" si="5"/>
        <v>3</v>
      </c>
      <c r="C189" t="s">
        <v>188</v>
      </c>
      <c r="D189">
        <v>595.7</v>
      </c>
      <c r="E189">
        <v>3.2618</v>
      </c>
      <c r="F189">
        <v>2.196</v>
      </c>
      <c r="G189">
        <v>1</v>
      </c>
    </row>
    <row r="190" spans="1:7">
      <c r="A190" t="str">
        <f t="shared" si="4"/>
        <v>11.11</v>
      </c>
      <c r="B190" t="str">
        <f t="shared" si="5"/>
        <v>3</v>
      </c>
      <c r="C190" t="s">
        <v>189</v>
      </c>
      <c r="D190">
        <v>620.4</v>
      </c>
      <c r="E190">
        <v>2.7495</v>
      </c>
      <c r="F190">
        <v>1.8773</v>
      </c>
      <c r="G190">
        <v>1</v>
      </c>
    </row>
    <row r="191" spans="1:7">
      <c r="A191" t="str">
        <f t="shared" si="4"/>
        <v>11.12</v>
      </c>
      <c r="B191" t="str">
        <f t="shared" si="5"/>
        <v>3</v>
      </c>
      <c r="C191" t="s">
        <v>190</v>
      </c>
      <c r="D191">
        <v>646.6</v>
      </c>
      <c r="E191">
        <v>2.2888</v>
      </c>
      <c r="F191">
        <v>1.6153</v>
      </c>
      <c r="G191">
        <v>1</v>
      </c>
    </row>
    <row r="192" spans="1:7">
      <c r="A192" t="str">
        <f t="shared" si="4"/>
        <v>11.13</v>
      </c>
      <c r="B192" t="str">
        <f t="shared" si="5"/>
        <v>3</v>
      </c>
      <c r="C192" t="s">
        <v>191</v>
      </c>
      <c r="D192">
        <v>668.1</v>
      </c>
      <c r="E192">
        <v>1.9465</v>
      </c>
      <c r="F192">
        <v>1.4143</v>
      </c>
      <c r="G192">
        <v>1</v>
      </c>
    </row>
    <row r="193" spans="1:7">
      <c r="A193" t="str">
        <f t="shared" ref="A193:A256" si="6">LEFT(C193,FIND("_",C193)-1)</f>
        <v>11.14</v>
      </c>
      <c r="B193" t="str">
        <f t="shared" ref="B193:B256" si="7">MID(C193,FIND("_",C193)+1,FIND("_",C193,FIND("_",C193)+1)-FIND("_",C193)-1)</f>
        <v>3</v>
      </c>
      <c r="C193" t="s">
        <v>192</v>
      </c>
      <c r="D193">
        <v>691.9</v>
      </c>
      <c r="E193">
        <v>1.6563</v>
      </c>
      <c r="F193">
        <v>1.1856</v>
      </c>
      <c r="G193">
        <v>1</v>
      </c>
    </row>
    <row r="194" spans="1:7">
      <c r="A194" t="str">
        <f t="shared" si="6"/>
        <v>11.15</v>
      </c>
      <c r="B194" t="str">
        <f t="shared" si="7"/>
        <v>3</v>
      </c>
      <c r="C194" t="s">
        <v>193</v>
      </c>
      <c r="D194">
        <v>715.7</v>
      </c>
      <c r="E194">
        <v>1.4838</v>
      </c>
      <c r="F194">
        <v>1.0998</v>
      </c>
      <c r="G194">
        <v>1</v>
      </c>
    </row>
    <row r="195" spans="1:7">
      <c r="A195" t="str">
        <f t="shared" si="6"/>
        <v>11.10</v>
      </c>
      <c r="B195" t="str">
        <f t="shared" si="7"/>
        <v>3</v>
      </c>
      <c r="C195" t="s">
        <v>194</v>
      </c>
      <c r="D195">
        <v>598.4</v>
      </c>
      <c r="E195">
        <v>33.7744</v>
      </c>
      <c r="F195">
        <v>29.5727</v>
      </c>
      <c r="G195">
        <v>2</v>
      </c>
    </row>
    <row r="196" spans="1:7">
      <c r="A196" t="str">
        <f t="shared" si="6"/>
        <v>11.11</v>
      </c>
      <c r="B196" t="str">
        <f t="shared" si="7"/>
        <v>3</v>
      </c>
      <c r="C196" t="s">
        <v>195</v>
      </c>
      <c r="D196">
        <v>619</v>
      </c>
      <c r="E196">
        <v>29.1353</v>
      </c>
      <c r="F196">
        <v>25.6645</v>
      </c>
      <c r="G196">
        <v>2</v>
      </c>
    </row>
    <row r="197" spans="1:7">
      <c r="A197" t="str">
        <f t="shared" si="6"/>
        <v>11.12</v>
      </c>
      <c r="B197" t="str">
        <f t="shared" si="7"/>
        <v>3</v>
      </c>
      <c r="C197" t="s">
        <v>196</v>
      </c>
      <c r="D197">
        <v>645.6</v>
      </c>
      <c r="E197">
        <v>24.0223</v>
      </c>
      <c r="F197">
        <v>21.5929</v>
      </c>
      <c r="G197">
        <v>2</v>
      </c>
    </row>
    <row r="198" spans="1:7">
      <c r="A198" t="str">
        <f t="shared" si="6"/>
        <v>11.13</v>
      </c>
      <c r="B198" t="str">
        <f t="shared" si="7"/>
        <v>3</v>
      </c>
      <c r="C198" t="s">
        <v>197</v>
      </c>
      <c r="D198">
        <v>666.4</v>
      </c>
      <c r="E198">
        <v>20.5051</v>
      </c>
      <c r="F198">
        <v>18.9671</v>
      </c>
      <c r="G198">
        <v>2</v>
      </c>
    </row>
    <row r="199" spans="1:7">
      <c r="A199" t="str">
        <f t="shared" si="6"/>
        <v>11.14</v>
      </c>
      <c r="B199" t="str">
        <f t="shared" si="7"/>
        <v>3</v>
      </c>
      <c r="C199" t="s">
        <v>198</v>
      </c>
      <c r="D199">
        <v>692.9</v>
      </c>
      <c r="E199">
        <v>17.4375</v>
      </c>
      <c r="F199">
        <v>16.2329</v>
      </c>
      <c r="G199">
        <v>2</v>
      </c>
    </row>
    <row r="200" spans="1:7">
      <c r="A200" t="str">
        <f t="shared" si="6"/>
        <v>11.15</v>
      </c>
      <c r="B200" t="str">
        <f t="shared" si="7"/>
        <v>3</v>
      </c>
      <c r="C200" t="s">
        <v>199</v>
      </c>
      <c r="D200">
        <v>714.5</v>
      </c>
      <c r="E200">
        <v>15.5457</v>
      </c>
      <c r="F200">
        <v>13.9237</v>
      </c>
      <c r="G200">
        <v>2</v>
      </c>
    </row>
    <row r="201" spans="1:7">
      <c r="A201" t="str">
        <f t="shared" si="6"/>
        <v>11.16</v>
      </c>
      <c r="B201" t="str">
        <f t="shared" si="7"/>
        <v>3</v>
      </c>
      <c r="C201" t="s">
        <v>200</v>
      </c>
      <c r="D201">
        <v>740.8</v>
      </c>
      <c r="E201">
        <v>12.6726</v>
      </c>
      <c r="F201">
        <v>11.7506</v>
      </c>
    </row>
    <row r="202" spans="1:7">
      <c r="A202" t="str">
        <f t="shared" si="6"/>
        <v>11.17</v>
      </c>
      <c r="B202" t="str">
        <f t="shared" si="7"/>
        <v>3</v>
      </c>
      <c r="C202" t="s">
        <v>201</v>
      </c>
      <c r="D202">
        <v>762.9</v>
      </c>
      <c r="E202">
        <v>10.1329</v>
      </c>
      <c r="F202">
        <v>10.4062</v>
      </c>
    </row>
    <row r="203" spans="1:7">
      <c r="A203" t="str">
        <f t="shared" si="6"/>
        <v>11.18</v>
      </c>
      <c r="B203" t="str">
        <f t="shared" si="7"/>
        <v>3</v>
      </c>
      <c r="C203" t="s">
        <v>202</v>
      </c>
      <c r="D203">
        <v>786.7</v>
      </c>
      <c r="E203">
        <v>9.2388</v>
      </c>
      <c r="F203">
        <v>8.5264</v>
      </c>
    </row>
    <row r="204" spans="1:7">
      <c r="A204" t="str">
        <f t="shared" si="6"/>
        <v>11.19</v>
      </c>
      <c r="B204" t="str">
        <f t="shared" si="7"/>
        <v>3</v>
      </c>
      <c r="C204" t="s">
        <v>203</v>
      </c>
      <c r="D204">
        <v>811.4</v>
      </c>
      <c r="E204">
        <v>7.9287</v>
      </c>
      <c r="F204">
        <v>7.3795</v>
      </c>
    </row>
    <row r="205" spans="1:7">
      <c r="A205" t="str">
        <f t="shared" si="6"/>
        <v>11.20</v>
      </c>
      <c r="B205" t="str">
        <f t="shared" si="7"/>
        <v>3</v>
      </c>
      <c r="C205" t="s">
        <v>204</v>
      </c>
      <c r="D205">
        <v>834.5</v>
      </c>
      <c r="E205">
        <v>7.1049</v>
      </c>
      <c r="F205">
        <v>6.5777</v>
      </c>
    </row>
    <row r="206" spans="1:7">
      <c r="A206" t="str">
        <f t="shared" si="6"/>
        <v>11.21</v>
      </c>
      <c r="B206" t="str">
        <f t="shared" si="7"/>
        <v>3</v>
      </c>
      <c r="C206" t="s">
        <v>205</v>
      </c>
      <c r="D206">
        <v>858.7</v>
      </c>
      <c r="E206">
        <v>6.0381</v>
      </c>
      <c r="F206">
        <v>5.396</v>
      </c>
    </row>
    <row r="207" spans="1:7">
      <c r="A207" t="str">
        <f t="shared" si="6"/>
        <v>11.22</v>
      </c>
      <c r="B207" t="str">
        <f t="shared" si="7"/>
        <v>3</v>
      </c>
      <c r="C207" t="s">
        <v>206</v>
      </c>
      <c r="D207">
        <v>884.6</v>
      </c>
      <c r="E207">
        <v>5.0718</v>
      </c>
      <c r="F207">
        <v>4.7102</v>
      </c>
    </row>
    <row r="208" spans="1:7">
      <c r="A208" t="str">
        <f t="shared" si="6"/>
        <v>11.23</v>
      </c>
      <c r="B208" t="str">
        <f t="shared" si="7"/>
        <v>3</v>
      </c>
      <c r="C208" t="s">
        <v>207</v>
      </c>
      <c r="D208">
        <v>910.9</v>
      </c>
      <c r="E208">
        <v>4.1858</v>
      </c>
      <c r="F208">
        <v>3.9305</v>
      </c>
    </row>
    <row r="209" spans="1:7">
      <c r="A209" t="str">
        <f t="shared" si="6"/>
        <v>11.24</v>
      </c>
      <c r="B209" t="str">
        <f t="shared" si="7"/>
        <v>3</v>
      </c>
      <c r="C209" t="s">
        <v>208</v>
      </c>
      <c r="D209">
        <v>931.1</v>
      </c>
      <c r="E209">
        <v>3.7798</v>
      </c>
      <c r="F209">
        <v>3.3546</v>
      </c>
    </row>
    <row r="210" spans="1:7">
      <c r="A210" t="str">
        <f t="shared" si="6"/>
        <v>11.25</v>
      </c>
      <c r="B210" t="str">
        <f t="shared" si="7"/>
        <v>3</v>
      </c>
      <c r="C210" t="s">
        <v>209</v>
      </c>
      <c r="D210">
        <v>955.2</v>
      </c>
      <c r="E210">
        <v>3.1689</v>
      </c>
      <c r="F210">
        <v>2.8404</v>
      </c>
      <c r="G210">
        <v>1</v>
      </c>
    </row>
    <row r="211" spans="1:7">
      <c r="A211" t="str">
        <f t="shared" si="6"/>
        <v>11.26</v>
      </c>
      <c r="B211" t="str">
        <f t="shared" si="7"/>
        <v>3</v>
      </c>
      <c r="C211" t="s">
        <v>210</v>
      </c>
      <c r="D211">
        <v>979.7</v>
      </c>
      <c r="E211">
        <v>2.78</v>
      </c>
      <c r="F211">
        <v>2.434</v>
      </c>
      <c r="G211">
        <v>1</v>
      </c>
    </row>
    <row r="212" spans="1:7">
      <c r="A212" t="str">
        <f t="shared" si="6"/>
        <v>11.27</v>
      </c>
      <c r="B212" t="str">
        <f t="shared" si="7"/>
        <v>3</v>
      </c>
      <c r="C212" t="s">
        <v>211</v>
      </c>
      <c r="D212">
        <v>1003.7</v>
      </c>
      <c r="E212">
        <v>2.2864</v>
      </c>
      <c r="F212">
        <v>2.1125</v>
      </c>
      <c r="G212">
        <v>1</v>
      </c>
    </row>
    <row r="213" spans="1:7">
      <c r="A213" t="str">
        <f t="shared" si="6"/>
        <v>11.28</v>
      </c>
      <c r="B213" t="str">
        <f t="shared" si="7"/>
        <v>3</v>
      </c>
      <c r="C213" t="s">
        <v>212</v>
      </c>
      <c r="D213">
        <v>1028.3</v>
      </c>
      <c r="E213">
        <v>2.0519</v>
      </c>
      <c r="F213">
        <v>1.8353</v>
      </c>
      <c r="G213">
        <v>1</v>
      </c>
    </row>
    <row r="214" spans="1:7">
      <c r="A214" t="str">
        <f t="shared" si="6"/>
        <v>11.25</v>
      </c>
      <c r="B214" t="str">
        <f t="shared" si="7"/>
        <v>3</v>
      </c>
      <c r="C214" t="s">
        <v>213</v>
      </c>
      <c r="D214">
        <v>955.7</v>
      </c>
      <c r="E214">
        <v>9.323</v>
      </c>
      <c r="F214">
        <v>8.9806</v>
      </c>
      <c r="G214">
        <v>2</v>
      </c>
    </row>
    <row r="215" spans="1:7">
      <c r="A215" t="str">
        <f t="shared" si="6"/>
        <v>11.26</v>
      </c>
      <c r="B215" t="str">
        <f t="shared" si="7"/>
        <v>3</v>
      </c>
      <c r="C215" t="s">
        <v>214</v>
      </c>
      <c r="D215">
        <v>978.8</v>
      </c>
      <c r="E215">
        <v>8</v>
      </c>
      <c r="F215">
        <v>7.5496</v>
      </c>
      <c r="G215">
        <v>2</v>
      </c>
    </row>
    <row r="216" spans="1:7">
      <c r="A216" t="str">
        <f t="shared" si="6"/>
        <v>11.27</v>
      </c>
      <c r="B216" t="str">
        <f t="shared" si="7"/>
        <v>3</v>
      </c>
      <c r="C216" t="s">
        <v>215</v>
      </c>
      <c r="D216">
        <v>1004.3</v>
      </c>
      <c r="E216">
        <v>6.6963</v>
      </c>
      <c r="F216">
        <v>6.3253</v>
      </c>
      <c r="G216">
        <v>2</v>
      </c>
    </row>
    <row r="217" spans="1:7">
      <c r="A217" t="str">
        <f t="shared" si="6"/>
        <v>11.28</v>
      </c>
      <c r="B217" t="str">
        <f t="shared" si="7"/>
        <v>3</v>
      </c>
      <c r="C217" t="s">
        <v>216</v>
      </c>
      <c r="D217">
        <v>1027.3</v>
      </c>
      <c r="E217">
        <v>5.8615</v>
      </c>
      <c r="F217">
        <v>5.6249</v>
      </c>
      <c r="G217">
        <v>2</v>
      </c>
    </row>
    <row r="218" spans="1:7">
      <c r="A218" t="str">
        <f t="shared" si="6"/>
        <v>11.29</v>
      </c>
      <c r="B218" t="str">
        <f t="shared" si="7"/>
        <v>3</v>
      </c>
      <c r="C218" t="s">
        <v>217</v>
      </c>
      <c r="D218">
        <v>1051.6</v>
      </c>
      <c r="E218">
        <v>5.1856</v>
      </c>
      <c r="F218">
        <v>4.7621</v>
      </c>
    </row>
    <row r="219" spans="1:7">
      <c r="A219" t="str">
        <f t="shared" si="6"/>
        <v>11.30</v>
      </c>
      <c r="B219" t="str">
        <f t="shared" si="7"/>
        <v>3</v>
      </c>
      <c r="C219" t="s">
        <v>218</v>
      </c>
      <c r="D219">
        <v>1079</v>
      </c>
      <c r="E219">
        <v>4.3419</v>
      </c>
      <c r="F219">
        <v>4.0274</v>
      </c>
    </row>
    <row r="220" spans="1:7">
      <c r="A220" t="str">
        <f t="shared" si="6"/>
        <v>12.01</v>
      </c>
      <c r="B220" t="str">
        <f t="shared" si="7"/>
        <v>3</v>
      </c>
      <c r="C220" t="s">
        <v>219</v>
      </c>
      <c r="D220">
        <v>1100.9</v>
      </c>
      <c r="E220">
        <v>3.6093</v>
      </c>
      <c r="F220">
        <v>3.5371</v>
      </c>
    </row>
    <row r="221" spans="1:7">
      <c r="A221" t="str">
        <f t="shared" si="6"/>
        <v>12.02</v>
      </c>
      <c r="B221" t="str">
        <f t="shared" si="7"/>
        <v>3</v>
      </c>
      <c r="C221" t="s">
        <v>220</v>
      </c>
      <c r="D221">
        <v>1124.4</v>
      </c>
      <c r="E221">
        <v>3.1042</v>
      </c>
      <c r="F221">
        <v>2.9808</v>
      </c>
      <c r="G221">
        <v>1</v>
      </c>
    </row>
    <row r="222" spans="1:7">
      <c r="A222" t="str">
        <f t="shared" si="6"/>
        <v>12.03</v>
      </c>
      <c r="B222" t="str">
        <f t="shared" si="7"/>
        <v>3</v>
      </c>
      <c r="C222" t="s">
        <v>221</v>
      </c>
      <c r="D222">
        <v>1148.7</v>
      </c>
      <c r="E222">
        <v>2.6124</v>
      </c>
      <c r="F222">
        <v>2.5822</v>
      </c>
      <c r="G222">
        <v>1</v>
      </c>
    </row>
    <row r="223" spans="1:7">
      <c r="A223" t="str">
        <f t="shared" si="6"/>
        <v>12.04</v>
      </c>
      <c r="B223" t="str">
        <f t="shared" si="7"/>
        <v>3</v>
      </c>
      <c r="C223" t="s">
        <v>222</v>
      </c>
      <c r="D223">
        <v>1172.7</v>
      </c>
      <c r="E223">
        <v>2.2604</v>
      </c>
      <c r="F223">
        <v>2.2093</v>
      </c>
      <c r="G223">
        <v>1</v>
      </c>
    </row>
    <row r="224" spans="1:7">
      <c r="A224" t="str">
        <f t="shared" si="6"/>
        <v>12.05</v>
      </c>
      <c r="B224" t="str">
        <f t="shared" si="7"/>
        <v>3</v>
      </c>
      <c r="C224" t="s">
        <v>223</v>
      </c>
      <c r="D224">
        <v>1196.8</v>
      </c>
      <c r="E224">
        <v>1.934</v>
      </c>
      <c r="F224">
        <v>1.9576</v>
      </c>
      <c r="G224">
        <v>1</v>
      </c>
    </row>
    <row r="225" spans="1:7">
      <c r="A225" t="str">
        <f t="shared" si="6"/>
        <v>12.02</v>
      </c>
      <c r="B225" t="str">
        <f t="shared" si="7"/>
        <v>3</v>
      </c>
      <c r="C225" t="s">
        <v>224</v>
      </c>
      <c r="D225">
        <v>1125.7</v>
      </c>
      <c r="E225">
        <v>6.7855</v>
      </c>
      <c r="F225">
        <v>6.4864</v>
      </c>
      <c r="G225">
        <v>2</v>
      </c>
    </row>
    <row r="226" spans="1:7">
      <c r="A226" t="str">
        <f t="shared" si="6"/>
        <v>12.03</v>
      </c>
      <c r="B226" t="str">
        <f t="shared" si="7"/>
        <v>3</v>
      </c>
      <c r="C226" t="s">
        <v>225</v>
      </c>
      <c r="D226">
        <v>1147.7</v>
      </c>
      <c r="E226">
        <v>5.809</v>
      </c>
      <c r="F226">
        <v>5.4068</v>
      </c>
      <c r="G226">
        <v>2</v>
      </c>
    </row>
    <row r="227" spans="1:7">
      <c r="A227" t="str">
        <f t="shared" si="6"/>
        <v>12.04</v>
      </c>
      <c r="B227" t="str">
        <f t="shared" si="7"/>
        <v>3</v>
      </c>
      <c r="C227" t="s">
        <v>226</v>
      </c>
      <c r="D227">
        <v>1173.5</v>
      </c>
      <c r="E227">
        <v>4.7562</v>
      </c>
      <c r="F227">
        <v>4.5728</v>
      </c>
      <c r="G227">
        <v>2</v>
      </c>
    </row>
    <row r="228" spans="1:7">
      <c r="A228" t="str">
        <f t="shared" si="6"/>
        <v>12.05</v>
      </c>
      <c r="B228" t="str">
        <f t="shared" si="7"/>
        <v>3</v>
      </c>
      <c r="C228" t="s">
        <v>227</v>
      </c>
      <c r="D228">
        <v>1195.8</v>
      </c>
      <c r="E228">
        <v>3.8425</v>
      </c>
      <c r="F228">
        <v>4.1815</v>
      </c>
      <c r="G228">
        <v>2</v>
      </c>
    </row>
    <row r="229" spans="1:7">
      <c r="A229" t="str">
        <f t="shared" si="6"/>
        <v>12.06</v>
      </c>
      <c r="B229" t="str">
        <f t="shared" si="7"/>
        <v>3</v>
      </c>
      <c r="C229" t="s">
        <v>228</v>
      </c>
      <c r="D229">
        <v>1220.8</v>
      </c>
      <c r="E229">
        <v>3.5503</v>
      </c>
      <c r="F229">
        <v>3.5066</v>
      </c>
    </row>
    <row r="230" spans="1:7">
      <c r="A230" t="str">
        <f t="shared" si="6"/>
        <v>12.07</v>
      </c>
      <c r="B230" t="str">
        <f t="shared" si="7"/>
        <v>3</v>
      </c>
      <c r="C230" t="s">
        <v>229</v>
      </c>
      <c r="D230">
        <v>1245</v>
      </c>
      <c r="E230">
        <v>3.0881</v>
      </c>
      <c r="F230">
        <v>2.7966</v>
      </c>
    </row>
    <row r="231" spans="1:7">
      <c r="A231" t="str">
        <f t="shared" si="6"/>
        <v>12.08</v>
      </c>
      <c r="B231" t="str">
        <f t="shared" si="7"/>
        <v>3</v>
      </c>
      <c r="C231" t="s">
        <v>230</v>
      </c>
      <c r="D231">
        <v>1268.9</v>
      </c>
      <c r="E231">
        <v>2.5371</v>
      </c>
      <c r="F231">
        <v>2.1993</v>
      </c>
    </row>
    <row r="232" spans="1:7">
      <c r="A232" t="str">
        <f t="shared" si="6"/>
        <v>12.09</v>
      </c>
      <c r="B232" t="str">
        <f t="shared" si="7"/>
        <v>3</v>
      </c>
      <c r="C232" t="s">
        <v>231</v>
      </c>
      <c r="D232">
        <v>1293.5</v>
      </c>
      <c r="E232">
        <v>2.1467</v>
      </c>
      <c r="F232">
        <v>1.9775</v>
      </c>
    </row>
    <row r="233" spans="1:7">
      <c r="A233" t="str">
        <f t="shared" si="6"/>
        <v>12.10</v>
      </c>
      <c r="B233" t="str">
        <f t="shared" si="7"/>
        <v>3</v>
      </c>
      <c r="C233" t="s">
        <v>232</v>
      </c>
      <c r="D233">
        <v>1316.7</v>
      </c>
      <c r="E233">
        <v>1.9063</v>
      </c>
      <c r="F233">
        <v>1.8952</v>
      </c>
    </row>
    <row r="234" spans="1:7">
      <c r="A234" t="str">
        <f t="shared" si="6"/>
        <v>12.11</v>
      </c>
      <c r="B234" t="str">
        <f t="shared" si="7"/>
        <v>3</v>
      </c>
      <c r="C234" t="s">
        <v>233</v>
      </c>
      <c r="D234">
        <v>1341.8</v>
      </c>
      <c r="E234">
        <v>1.4896</v>
      </c>
      <c r="F234">
        <v>1.6075</v>
      </c>
    </row>
    <row r="235" spans="1:7">
      <c r="A235" t="str">
        <f t="shared" si="6"/>
        <v>12.12</v>
      </c>
      <c r="B235" t="str">
        <f t="shared" si="7"/>
        <v>3</v>
      </c>
      <c r="C235" t="s">
        <v>234</v>
      </c>
      <c r="D235">
        <v>1365.8</v>
      </c>
      <c r="E235">
        <v>1.1718</v>
      </c>
      <c r="F235">
        <v>1.3135</v>
      </c>
    </row>
    <row r="236" spans="1:7">
      <c r="A236" t="str">
        <f t="shared" si="6"/>
        <v>12.13</v>
      </c>
      <c r="B236" t="str">
        <f t="shared" si="7"/>
        <v>3</v>
      </c>
      <c r="C236" t="s">
        <v>235</v>
      </c>
      <c r="D236">
        <v>1390.8</v>
      </c>
      <c r="E236">
        <v>0.9652</v>
      </c>
      <c r="F236">
        <v>1.1868</v>
      </c>
    </row>
    <row r="237" spans="1:7">
      <c r="A237" t="str">
        <f t="shared" si="6"/>
        <v>12.14</v>
      </c>
      <c r="B237" t="str">
        <f t="shared" si="7"/>
        <v>3</v>
      </c>
      <c r="C237" t="s">
        <v>236</v>
      </c>
      <c r="D237">
        <v>1420.4</v>
      </c>
      <c r="E237">
        <v>0.801</v>
      </c>
      <c r="F237">
        <v>0.9711</v>
      </c>
    </row>
    <row r="238" spans="1:7">
      <c r="A238" t="str">
        <f t="shared" si="6"/>
        <v>12.15</v>
      </c>
      <c r="B238" t="str">
        <f t="shared" si="7"/>
        <v>3</v>
      </c>
      <c r="C238" t="s">
        <v>237</v>
      </c>
      <c r="D238">
        <v>1432.6</v>
      </c>
      <c r="E238">
        <v>0.7581</v>
      </c>
      <c r="F238">
        <v>0.9213</v>
      </c>
    </row>
    <row r="239" spans="1:7">
      <c r="A239" t="str">
        <f t="shared" si="6"/>
        <v>12.16</v>
      </c>
      <c r="B239" t="str">
        <f t="shared" si="7"/>
        <v>3</v>
      </c>
      <c r="C239" t="s">
        <v>238</v>
      </c>
      <c r="D239">
        <v>1468.8</v>
      </c>
      <c r="E239">
        <v>0.5445</v>
      </c>
      <c r="F239">
        <v>0.7534</v>
      </c>
    </row>
    <row r="240" spans="1:7">
      <c r="A240" t="str">
        <f t="shared" si="6"/>
        <v>12.17</v>
      </c>
      <c r="B240" t="str">
        <f t="shared" si="7"/>
        <v>3</v>
      </c>
      <c r="C240" t="s">
        <v>239</v>
      </c>
      <c r="D240">
        <v>1487.6</v>
      </c>
      <c r="E240">
        <v>0.4343</v>
      </c>
      <c r="F240">
        <v>0.562</v>
      </c>
    </row>
    <row r="241" spans="1:7">
      <c r="A241" t="str">
        <f t="shared" si="6"/>
        <v>12.18</v>
      </c>
      <c r="B241" t="str">
        <f t="shared" si="7"/>
        <v>3</v>
      </c>
      <c r="C241" t="s">
        <v>240</v>
      </c>
      <c r="D241">
        <v>1517.3</v>
      </c>
      <c r="E241">
        <v>0.3283</v>
      </c>
      <c r="F241">
        <v>0.5404</v>
      </c>
    </row>
    <row r="242" spans="1:7">
      <c r="A242" t="str">
        <f t="shared" si="6"/>
        <v>12.19</v>
      </c>
      <c r="B242" t="str">
        <f t="shared" si="7"/>
        <v>3</v>
      </c>
      <c r="C242" t="s">
        <v>241</v>
      </c>
      <c r="D242">
        <v>1528.4</v>
      </c>
      <c r="E242">
        <v>0.3043</v>
      </c>
      <c r="F242">
        <v>0.3638</v>
      </c>
    </row>
    <row r="243" spans="1:7">
      <c r="A243" t="str">
        <f t="shared" si="6"/>
        <v>10.18</v>
      </c>
      <c r="B243" t="str">
        <f t="shared" si="7"/>
        <v>4</v>
      </c>
      <c r="C243" t="s">
        <v>242</v>
      </c>
      <c r="D243">
        <v>56</v>
      </c>
      <c r="E243">
        <v>13.911</v>
      </c>
      <c r="F243">
        <v>4.2436</v>
      </c>
    </row>
    <row r="244" spans="1:7">
      <c r="A244" t="str">
        <f t="shared" si="6"/>
        <v>10.20</v>
      </c>
      <c r="B244" t="str">
        <f t="shared" si="7"/>
        <v>4</v>
      </c>
      <c r="C244" t="s">
        <v>243</v>
      </c>
      <c r="D244">
        <v>91.7</v>
      </c>
      <c r="E244">
        <v>10.8365</v>
      </c>
      <c r="F244">
        <v>3.3091</v>
      </c>
    </row>
    <row r="245" spans="1:7">
      <c r="A245" t="str">
        <f t="shared" si="6"/>
        <v>10.21</v>
      </c>
      <c r="B245" t="str">
        <f t="shared" si="7"/>
        <v>4</v>
      </c>
      <c r="C245" t="s">
        <v>244</v>
      </c>
      <c r="D245">
        <v>115</v>
      </c>
      <c r="E245">
        <v>9.7307</v>
      </c>
      <c r="F245">
        <v>2.9784</v>
      </c>
    </row>
    <row r="246" spans="1:7">
      <c r="A246" t="str">
        <f t="shared" si="6"/>
        <v>10.22</v>
      </c>
      <c r="B246" t="str">
        <f t="shared" si="7"/>
        <v>4</v>
      </c>
      <c r="C246" t="s">
        <v>245</v>
      </c>
      <c r="D246">
        <v>138.9</v>
      </c>
      <c r="E246">
        <v>8.2458</v>
      </c>
      <c r="F246">
        <v>2.405</v>
      </c>
    </row>
    <row r="247" spans="1:7">
      <c r="A247" t="str">
        <f t="shared" si="6"/>
        <v>10.23</v>
      </c>
      <c r="B247" t="str">
        <f t="shared" si="7"/>
        <v>4</v>
      </c>
      <c r="C247" t="s">
        <v>246</v>
      </c>
      <c r="D247">
        <v>162.7</v>
      </c>
      <c r="E247">
        <v>6.8938</v>
      </c>
      <c r="F247">
        <v>2.1032</v>
      </c>
    </row>
    <row r="248" spans="1:7">
      <c r="A248" t="str">
        <f t="shared" si="6"/>
        <v>10.24</v>
      </c>
      <c r="B248" t="str">
        <f t="shared" si="7"/>
        <v>4</v>
      </c>
      <c r="C248" t="s">
        <v>247</v>
      </c>
      <c r="D248">
        <v>186.9</v>
      </c>
      <c r="E248">
        <v>6.1458</v>
      </c>
      <c r="F248">
        <v>1.92</v>
      </c>
    </row>
    <row r="249" spans="1:7">
      <c r="A249" t="str">
        <f t="shared" si="6"/>
        <v>10.25</v>
      </c>
      <c r="B249" t="str">
        <f t="shared" si="7"/>
        <v>4</v>
      </c>
      <c r="C249" t="s">
        <v>248</v>
      </c>
      <c r="D249">
        <v>211.6</v>
      </c>
      <c r="E249">
        <v>5.1718</v>
      </c>
      <c r="F249">
        <v>1.7019</v>
      </c>
    </row>
    <row r="250" spans="1:7">
      <c r="A250" t="str">
        <f t="shared" si="6"/>
        <v>10.26</v>
      </c>
      <c r="B250" t="str">
        <f t="shared" si="7"/>
        <v>4</v>
      </c>
      <c r="C250" t="s">
        <v>249</v>
      </c>
      <c r="D250">
        <v>236.1</v>
      </c>
      <c r="E250">
        <v>4.2808</v>
      </c>
      <c r="F250">
        <v>1.381</v>
      </c>
    </row>
    <row r="251" spans="1:7">
      <c r="A251" t="str">
        <f t="shared" si="6"/>
        <v>10.27</v>
      </c>
      <c r="B251" t="str">
        <f t="shared" si="7"/>
        <v>4</v>
      </c>
      <c r="C251" t="s">
        <v>250</v>
      </c>
      <c r="D251">
        <v>260.7</v>
      </c>
      <c r="E251">
        <v>3.7023</v>
      </c>
      <c r="F251">
        <v>1.1169</v>
      </c>
    </row>
    <row r="252" spans="1:7">
      <c r="A252" t="str">
        <f t="shared" si="6"/>
        <v>10.28</v>
      </c>
      <c r="B252" t="str">
        <f t="shared" si="7"/>
        <v>4</v>
      </c>
      <c r="C252" t="s">
        <v>251</v>
      </c>
      <c r="D252">
        <v>284.9</v>
      </c>
      <c r="E252">
        <v>3.2332</v>
      </c>
      <c r="F252">
        <v>0.9738</v>
      </c>
    </row>
    <row r="253" spans="1:7">
      <c r="A253" t="str">
        <f t="shared" si="6"/>
        <v>10.29</v>
      </c>
      <c r="B253" t="str">
        <f t="shared" si="7"/>
        <v>4</v>
      </c>
      <c r="C253" t="s">
        <v>252</v>
      </c>
      <c r="D253">
        <v>308.7</v>
      </c>
      <c r="E253">
        <v>2.7115</v>
      </c>
      <c r="F253">
        <v>0.8135</v>
      </c>
      <c r="G253">
        <v>1</v>
      </c>
    </row>
    <row r="254" spans="1:7">
      <c r="A254" t="str">
        <f t="shared" si="6"/>
        <v>10.30</v>
      </c>
      <c r="B254" t="str">
        <f t="shared" si="7"/>
        <v>4</v>
      </c>
      <c r="C254" t="s">
        <v>253</v>
      </c>
      <c r="D254">
        <v>331.3</v>
      </c>
      <c r="E254">
        <v>2.4188</v>
      </c>
      <c r="F254">
        <v>0.747</v>
      </c>
      <c r="G254">
        <v>1</v>
      </c>
    </row>
    <row r="255" spans="1:7">
      <c r="A255" t="str">
        <f t="shared" si="6"/>
        <v>10.31</v>
      </c>
      <c r="B255" t="str">
        <f t="shared" si="7"/>
        <v>4</v>
      </c>
      <c r="C255" t="s">
        <v>254</v>
      </c>
      <c r="D255">
        <v>356.2</v>
      </c>
      <c r="E255">
        <v>2.0244</v>
      </c>
      <c r="F255">
        <v>0.651</v>
      </c>
      <c r="G255">
        <v>1</v>
      </c>
    </row>
    <row r="256" spans="1:7">
      <c r="A256" t="str">
        <f t="shared" si="6"/>
        <v>10.29</v>
      </c>
      <c r="B256" t="str">
        <f t="shared" si="7"/>
        <v>4</v>
      </c>
      <c r="C256" t="s">
        <v>255</v>
      </c>
      <c r="D256">
        <v>309</v>
      </c>
      <c r="E256">
        <v>20.541</v>
      </c>
      <c r="F256">
        <v>14.3946</v>
      </c>
      <c r="G256">
        <v>2</v>
      </c>
    </row>
    <row r="257" spans="1:7">
      <c r="A257" t="str">
        <f t="shared" ref="A257:A320" si="8">LEFT(C257,FIND("_",C257)-1)</f>
        <v>10.30</v>
      </c>
      <c r="B257" t="str">
        <f t="shared" ref="B257:B320" si="9">MID(C257,FIND("_",C257)+1,FIND("_",C257,FIND("_",C257)+1)-FIND("_",C257)-1)</f>
        <v>4</v>
      </c>
      <c r="C257" t="s">
        <v>256</v>
      </c>
      <c r="D257">
        <v>330.7</v>
      </c>
      <c r="E257">
        <v>18.4471</v>
      </c>
      <c r="F257">
        <v>12.8627</v>
      </c>
      <c r="G257">
        <v>2</v>
      </c>
    </row>
    <row r="258" spans="1:7">
      <c r="A258" t="str">
        <f t="shared" si="8"/>
        <v>10.31</v>
      </c>
      <c r="B258" t="str">
        <f t="shared" si="9"/>
        <v>4</v>
      </c>
      <c r="C258" t="s">
        <v>257</v>
      </c>
      <c r="D258">
        <v>356.4</v>
      </c>
      <c r="E258">
        <v>15.7014</v>
      </c>
      <c r="F258">
        <v>10.7048</v>
      </c>
      <c r="G258">
        <v>2</v>
      </c>
    </row>
    <row r="259" spans="1:7">
      <c r="A259" t="str">
        <f t="shared" si="8"/>
        <v>11.01</v>
      </c>
      <c r="B259" t="str">
        <f t="shared" si="9"/>
        <v>4</v>
      </c>
      <c r="C259" t="s">
        <v>258</v>
      </c>
      <c r="D259">
        <v>378.8</v>
      </c>
      <c r="E259">
        <v>13.2181</v>
      </c>
      <c r="F259">
        <v>9.2648</v>
      </c>
    </row>
    <row r="260" spans="1:7">
      <c r="A260" t="str">
        <f t="shared" si="8"/>
        <v>11.02</v>
      </c>
      <c r="B260" t="str">
        <f t="shared" si="9"/>
        <v>4</v>
      </c>
      <c r="C260" t="s">
        <v>259</v>
      </c>
      <c r="D260">
        <v>402.8</v>
      </c>
      <c r="E260">
        <v>11.3266</v>
      </c>
      <c r="F260">
        <v>7.6911</v>
      </c>
    </row>
    <row r="261" spans="1:7">
      <c r="A261" t="str">
        <f t="shared" si="8"/>
        <v>11.03</v>
      </c>
      <c r="B261" t="str">
        <f t="shared" si="9"/>
        <v>4</v>
      </c>
      <c r="C261" t="s">
        <v>260</v>
      </c>
      <c r="D261">
        <v>426.9</v>
      </c>
      <c r="E261">
        <v>9.7724</v>
      </c>
      <c r="F261">
        <v>6.7126</v>
      </c>
    </row>
    <row r="262" spans="1:7">
      <c r="A262" t="str">
        <f t="shared" si="8"/>
        <v>11.04</v>
      </c>
      <c r="B262" t="str">
        <f t="shared" si="9"/>
        <v>4</v>
      </c>
      <c r="C262" t="s">
        <v>261</v>
      </c>
      <c r="D262">
        <v>451</v>
      </c>
      <c r="E262">
        <v>8.3651</v>
      </c>
      <c r="F262">
        <v>5.7456</v>
      </c>
    </row>
    <row r="263" spans="1:7">
      <c r="A263" t="str">
        <f t="shared" si="8"/>
        <v>11.04</v>
      </c>
      <c r="B263" t="str">
        <f t="shared" si="9"/>
        <v>4</v>
      </c>
      <c r="C263" t="s">
        <v>262</v>
      </c>
      <c r="D263">
        <v>452.1</v>
      </c>
      <c r="E263">
        <v>1.0668</v>
      </c>
      <c r="F263">
        <v>0.3451</v>
      </c>
    </row>
    <row r="264" spans="1:7">
      <c r="A264" t="str">
        <f t="shared" si="8"/>
        <v>11.05</v>
      </c>
      <c r="B264" t="str">
        <f t="shared" si="9"/>
        <v>4</v>
      </c>
      <c r="C264" t="s">
        <v>263</v>
      </c>
      <c r="D264">
        <v>476.6</v>
      </c>
      <c r="E264">
        <v>0.9488</v>
      </c>
      <c r="F264">
        <v>0.2908</v>
      </c>
      <c r="G264">
        <v>1</v>
      </c>
    </row>
    <row r="265" spans="1:7">
      <c r="A265" t="str">
        <f t="shared" si="8"/>
        <v>11.06</v>
      </c>
      <c r="B265" t="str">
        <f t="shared" si="9"/>
        <v>4</v>
      </c>
      <c r="C265" t="s">
        <v>264</v>
      </c>
      <c r="D265">
        <v>500.4</v>
      </c>
      <c r="E265">
        <v>0.8033</v>
      </c>
      <c r="F265">
        <v>0.2634</v>
      </c>
      <c r="G265">
        <v>1</v>
      </c>
    </row>
    <row r="266" spans="1:7">
      <c r="A266" t="str">
        <f t="shared" si="8"/>
        <v>11.05</v>
      </c>
      <c r="B266" t="str">
        <f t="shared" si="9"/>
        <v>4</v>
      </c>
      <c r="C266" t="s">
        <v>265</v>
      </c>
      <c r="D266">
        <v>475.7</v>
      </c>
      <c r="E266">
        <v>7.229</v>
      </c>
      <c r="F266">
        <v>4.9298</v>
      </c>
      <c r="G266">
        <v>2</v>
      </c>
    </row>
    <row r="267" spans="1:7">
      <c r="A267" t="str">
        <f t="shared" si="8"/>
        <v>11.06</v>
      </c>
      <c r="B267" t="str">
        <f t="shared" si="9"/>
        <v>4</v>
      </c>
      <c r="C267" t="s">
        <v>266</v>
      </c>
      <c r="D267">
        <v>499.3</v>
      </c>
      <c r="E267">
        <v>6.3628</v>
      </c>
      <c r="F267">
        <v>4.1637</v>
      </c>
      <c r="G267">
        <v>2</v>
      </c>
    </row>
    <row r="268" spans="1:7">
      <c r="A268" t="str">
        <f t="shared" si="8"/>
        <v>11.07</v>
      </c>
      <c r="B268" t="str">
        <f t="shared" si="9"/>
        <v>4</v>
      </c>
      <c r="C268" t="s">
        <v>267</v>
      </c>
      <c r="D268">
        <v>523.5</v>
      </c>
      <c r="E268">
        <v>5.1371</v>
      </c>
      <c r="F268">
        <v>3.53</v>
      </c>
    </row>
    <row r="269" spans="1:7">
      <c r="A269" t="str">
        <f t="shared" si="8"/>
        <v>11.08</v>
      </c>
      <c r="B269" t="str">
        <f t="shared" si="9"/>
        <v>4</v>
      </c>
      <c r="C269" t="s">
        <v>268</v>
      </c>
      <c r="D269">
        <v>547.8</v>
      </c>
      <c r="E269">
        <v>4.5435</v>
      </c>
      <c r="F269">
        <v>3.1038</v>
      </c>
    </row>
    <row r="270" spans="1:7">
      <c r="A270" t="str">
        <f t="shared" si="8"/>
        <v>11.09</v>
      </c>
      <c r="B270" t="str">
        <f t="shared" si="9"/>
        <v>4</v>
      </c>
      <c r="C270" t="s">
        <v>269</v>
      </c>
      <c r="D270">
        <v>572.8</v>
      </c>
      <c r="E270">
        <v>3.79</v>
      </c>
      <c r="F270">
        <v>2.6142</v>
      </c>
    </row>
    <row r="271" spans="1:7">
      <c r="A271" t="str">
        <f t="shared" si="8"/>
        <v>11.10</v>
      </c>
      <c r="B271" t="str">
        <f t="shared" si="9"/>
        <v>4</v>
      </c>
      <c r="C271" t="s">
        <v>270</v>
      </c>
      <c r="D271">
        <v>596.2</v>
      </c>
      <c r="E271">
        <v>3.2488</v>
      </c>
      <c r="F271">
        <v>2.258</v>
      </c>
      <c r="G271">
        <v>1</v>
      </c>
    </row>
    <row r="272" spans="1:7">
      <c r="A272" t="str">
        <f t="shared" si="8"/>
        <v>11.11</v>
      </c>
      <c r="B272" t="str">
        <f t="shared" si="9"/>
        <v>4</v>
      </c>
      <c r="C272" t="s">
        <v>271</v>
      </c>
      <c r="D272">
        <v>621.6</v>
      </c>
      <c r="E272">
        <v>2.8244</v>
      </c>
      <c r="F272">
        <v>1.8902</v>
      </c>
      <c r="G272">
        <v>1</v>
      </c>
    </row>
    <row r="273" spans="1:7">
      <c r="A273" t="str">
        <f t="shared" si="8"/>
        <v>11.12</v>
      </c>
      <c r="B273" t="str">
        <f t="shared" si="9"/>
        <v>4</v>
      </c>
      <c r="C273" t="s">
        <v>272</v>
      </c>
      <c r="D273">
        <v>646.3</v>
      </c>
      <c r="E273">
        <v>2.262</v>
      </c>
      <c r="F273">
        <v>1.6908</v>
      </c>
      <c r="G273">
        <v>1</v>
      </c>
    </row>
    <row r="274" spans="1:7">
      <c r="A274" t="str">
        <f t="shared" si="8"/>
        <v>11.13</v>
      </c>
      <c r="B274" t="str">
        <f t="shared" si="9"/>
        <v>4</v>
      </c>
      <c r="C274" t="s">
        <v>273</v>
      </c>
      <c r="D274">
        <v>667.5</v>
      </c>
      <c r="E274">
        <v>2</v>
      </c>
      <c r="F274">
        <v>1.4724</v>
      </c>
      <c r="G274">
        <v>1</v>
      </c>
    </row>
    <row r="275" spans="1:7">
      <c r="A275" t="str">
        <f t="shared" si="8"/>
        <v>11.14</v>
      </c>
      <c r="B275" t="str">
        <f t="shared" si="9"/>
        <v>4</v>
      </c>
      <c r="C275" t="s">
        <v>274</v>
      </c>
      <c r="D275">
        <v>692.5</v>
      </c>
      <c r="E275">
        <v>1.7754</v>
      </c>
      <c r="F275">
        <v>1.2444</v>
      </c>
      <c r="G275">
        <v>1</v>
      </c>
    </row>
    <row r="276" spans="1:7">
      <c r="A276" t="str">
        <f t="shared" si="8"/>
        <v>11.15</v>
      </c>
      <c r="B276" t="str">
        <f t="shared" si="9"/>
        <v>4</v>
      </c>
      <c r="C276" t="s">
        <v>275</v>
      </c>
      <c r="D276">
        <v>715.2</v>
      </c>
      <c r="E276">
        <v>1.4491</v>
      </c>
      <c r="F276">
        <v>1.0383</v>
      </c>
      <c r="G276">
        <v>1</v>
      </c>
    </row>
    <row r="277" spans="1:7">
      <c r="A277" t="str">
        <f t="shared" si="8"/>
        <v>11.10</v>
      </c>
      <c r="B277" t="str">
        <f t="shared" si="9"/>
        <v>4</v>
      </c>
      <c r="C277" t="s">
        <v>276</v>
      </c>
      <c r="D277">
        <v>598.5</v>
      </c>
      <c r="E277">
        <v>32.8578</v>
      </c>
      <c r="F277">
        <v>29.6941</v>
      </c>
      <c r="G277">
        <v>2</v>
      </c>
    </row>
    <row r="278" spans="1:7">
      <c r="A278" t="str">
        <f t="shared" si="8"/>
        <v>11.11</v>
      </c>
      <c r="B278" t="str">
        <f t="shared" si="9"/>
        <v>4</v>
      </c>
      <c r="C278" t="s">
        <v>277</v>
      </c>
      <c r="D278">
        <v>619.1</v>
      </c>
      <c r="E278">
        <v>29.7785</v>
      </c>
      <c r="F278">
        <v>25.7206</v>
      </c>
      <c r="G278">
        <v>2</v>
      </c>
    </row>
    <row r="279" spans="1:7">
      <c r="A279" t="str">
        <f t="shared" si="8"/>
        <v>11.12</v>
      </c>
      <c r="B279" t="str">
        <f t="shared" si="9"/>
        <v>4</v>
      </c>
      <c r="C279" t="s">
        <v>278</v>
      </c>
      <c r="D279">
        <v>645.7</v>
      </c>
      <c r="E279">
        <v>24.2188</v>
      </c>
      <c r="F279">
        <v>21.7039</v>
      </c>
      <c r="G279">
        <v>2</v>
      </c>
    </row>
    <row r="280" spans="1:7">
      <c r="A280" t="str">
        <f t="shared" si="8"/>
        <v>11.13</v>
      </c>
      <c r="B280" t="str">
        <f t="shared" si="9"/>
        <v>4</v>
      </c>
      <c r="C280" t="s">
        <v>279</v>
      </c>
      <c r="D280">
        <v>666.9</v>
      </c>
      <c r="E280">
        <v>20.4012</v>
      </c>
      <c r="F280">
        <v>19.1907</v>
      </c>
      <c r="G280">
        <v>2</v>
      </c>
    </row>
    <row r="281" spans="1:7">
      <c r="A281" t="str">
        <f t="shared" si="8"/>
        <v>11.14</v>
      </c>
      <c r="B281" t="str">
        <f t="shared" si="9"/>
        <v>4</v>
      </c>
      <c r="C281" t="s">
        <v>280</v>
      </c>
      <c r="D281">
        <v>692.7</v>
      </c>
      <c r="E281">
        <v>17.728</v>
      </c>
      <c r="F281">
        <v>16.015</v>
      </c>
      <c r="G281">
        <v>2</v>
      </c>
    </row>
    <row r="282" spans="1:7">
      <c r="A282" t="str">
        <f t="shared" si="8"/>
        <v>11.15</v>
      </c>
      <c r="B282" t="str">
        <f t="shared" si="9"/>
        <v>4</v>
      </c>
      <c r="C282" t="s">
        <v>281</v>
      </c>
      <c r="D282">
        <v>714.6</v>
      </c>
      <c r="E282">
        <v>15.337</v>
      </c>
      <c r="F282">
        <v>13.9552</v>
      </c>
      <c r="G282">
        <v>2</v>
      </c>
    </row>
    <row r="283" spans="1:7">
      <c r="A283" t="str">
        <f t="shared" si="8"/>
        <v>11.16</v>
      </c>
      <c r="B283" t="str">
        <f t="shared" si="9"/>
        <v>4</v>
      </c>
      <c r="C283" t="s">
        <v>282</v>
      </c>
      <c r="D283">
        <v>741</v>
      </c>
      <c r="E283">
        <v>12.5031</v>
      </c>
      <c r="F283">
        <v>11.9185</v>
      </c>
    </row>
    <row r="284" spans="1:7">
      <c r="A284" t="str">
        <f t="shared" si="8"/>
        <v>11.17</v>
      </c>
      <c r="B284" t="str">
        <f t="shared" si="9"/>
        <v>4</v>
      </c>
      <c r="C284" t="s">
        <v>283</v>
      </c>
      <c r="D284">
        <v>763</v>
      </c>
      <c r="E284">
        <v>10.161</v>
      </c>
      <c r="F284">
        <v>10.1617</v>
      </c>
    </row>
    <row r="285" spans="1:7">
      <c r="A285" t="str">
        <f t="shared" si="8"/>
        <v>11.18</v>
      </c>
      <c r="B285" t="str">
        <f t="shared" si="9"/>
        <v>4</v>
      </c>
      <c r="C285" t="s">
        <v>284</v>
      </c>
      <c r="D285">
        <v>786.8</v>
      </c>
      <c r="E285">
        <v>9.1538</v>
      </c>
      <c r="F285">
        <v>8.8517</v>
      </c>
    </row>
    <row r="286" spans="1:7">
      <c r="A286" t="str">
        <f t="shared" si="8"/>
        <v>11.19</v>
      </c>
      <c r="B286" t="str">
        <f t="shared" si="9"/>
        <v>4</v>
      </c>
      <c r="C286" t="s">
        <v>285</v>
      </c>
      <c r="D286">
        <v>811.6</v>
      </c>
      <c r="E286">
        <v>8.2592</v>
      </c>
      <c r="F286">
        <v>7.5297</v>
      </c>
    </row>
    <row r="287" spans="1:7">
      <c r="A287" t="str">
        <f t="shared" si="8"/>
        <v>11.20</v>
      </c>
      <c r="B287" t="str">
        <f t="shared" si="9"/>
        <v>4</v>
      </c>
      <c r="C287" t="s">
        <v>286</v>
      </c>
      <c r="D287">
        <v>834.7</v>
      </c>
      <c r="E287">
        <v>7.0676</v>
      </c>
      <c r="F287">
        <v>6.28</v>
      </c>
    </row>
    <row r="288" spans="1:7">
      <c r="A288" t="str">
        <f t="shared" si="8"/>
        <v>11.21</v>
      </c>
      <c r="B288" t="str">
        <f t="shared" si="9"/>
        <v>4</v>
      </c>
      <c r="C288" t="s">
        <v>287</v>
      </c>
      <c r="D288">
        <v>858.9</v>
      </c>
      <c r="E288">
        <v>6.0433</v>
      </c>
      <c r="F288">
        <v>5.4526</v>
      </c>
    </row>
    <row r="289" spans="1:7">
      <c r="A289" t="str">
        <f t="shared" si="8"/>
        <v>11.22</v>
      </c>
      <c r="B289" t="str">
        <f t="shared" si="9"/>
        <v>4</v>
      </c>
      <c r="C289" t="s">
        <v>288</v>
      </c>
      <c r="D289">
        <v>884.7</v>
      </c>
      <c r="E289">
        <v>4.9239</v>
      </c>
      <c r="F289">
        <v>4.6248</v>
      </c>
    </row>
    <row r="290" spans="1:7">
      <c r="A290" t="str">
        <f t="shared" si="8"/>
        <v>11.23</v>
      </c>
      <c r="B290" t="str">
        <f t="shared" si="9"/>
        <v>4</v>
      </c>
      <c r="C290" t="s">
        <v>289</v>
      </c>
      <c r="D290">
        <v>911.2</v>
      </c>
      <c r="E290">
        <v>4.2694</v>
      </c>
      <c r="F290">
        <v>3.9426</v>
      </c>
    </row>
    <row r="291" spans="1:7">
      <c r="A291" t="str">
        <f t="shared" si="8"/>
        <v>11.24</v>
      </c>
      <c r="B291" t="str">
        <f t="shared" si="9"/>
        <v>4</v>
      </c>
      <c r="C291" t="s">
        <v>290</v>
      </c>
      <c r="D291">
        <v>931.4</v>
      </c>
      <c r="E291">
        <v>3.8203</v>
      </c>
      <c r="F291">
        <v>3.5601</v>
      </c>
    </row>
    <row r="292" spans="1:7">
      <c r="A292" t="str">
        <f t="shared" si="8"/>
        <v>11.25</v>
      </c>
      <c r="B292" t="str">
        <f t="shared" si="9"/>
        <v>4</v>
      </c>
      <c r="C292" t="s">
        <v>291</v>
      </c>
      <c r="D292">
        <v>955.4</v>
      </c>
      <c r="E292">
        <v>3.1989</v>
      </c>
      <c r="F292">
        <v>3.0599</v>
      </c>
      <c r="G292">
        <v>1</v>
      </c>
    </row>
    <row r="293" spans="1:7">
      <c r="A293" t="str">
        <f t="shared" si="8"/>
        <v>11.26</v>
      </c>
      <c r="B293" t="str">
        <f t="shared" si="9"/>
        <v>4</v>
      </c>
      <c r="C293" t="s">
        <v>292</v>
      </c>
      <c r="D293">
        <v>979.4</v>
      </c>
      <c r="E293">
        <v>2.718</v>
      </c>
      <c r="F293">
        <v>2.5354</v>
      </c>
      <c r="G293">
        <v>1</v>
      </c>
    </row>
    <row r="294" spans="1:7">
      <c r="A294" t="str">
        <f t="shared" si="8"/>
        <v>11.27</v>
      </c>
      <c r="B294" t="str">
        <f t="shared" si="9"/>
        <v>4</v>
      </c>
      <c r="C294" t="s">
        <v>293</v>
      </c>
      <c r="D294">
        <v>1004.1</v>
      </c>
      <c r="E294">
        <v>2.3415</v>
      </c>
      <c r="F294">
        <v>2.2087</v>
      </c>
      <c r="G294">
        <v>1</v>
      </c>
    </row>
    <row r="295" spans="1:7">
      <c r="A295" t="str">
        <f t="shared" si="8"/>
        <v>11.28</v>
      </c>
      <c r="B295" t="str">
        <f t="shared" si="9"/>
        <v>4</v>
      </c>
      <c r="C295" t="s">
        <v>294</v>
      </c>
      <c r="D295">
        <v>1027.8</v>
      </c>
      <c r="E295">
        <v>1.9201</v>
      </c>
      <c r="F295">
        <v>1.793</v>
      </c>
      <c r="G295">
        <v>1</v>
      </c>
    </row>
    <row r="296" spans="1:7">
      <c r="A296" t="str">
        <f t="shared" si="8"/>
        <v>11.25</v>
      </c>
      <c r="B296" t="str">
        <f t="shared" si="9"/>
        <v>4</v>
      </c>
      <c r="C296" t="s">
        <v>295</v>
      </c>
      <c r="D296">
        <v>955.6</v>
      </c>
      <c r="E296">
        <v>9.5982</v>
      </c>
      <c r="F296">
        <v>8.9424</v>
      </c>
      <c r="G296">
        <v>2</v>
      </c>
    </row>
    <row r="297" spans="1:7">
      <c r="A297" t="str">
        <f t="shared" si="8"/>
        <v>11.26</v>
      </c>
      <c r="B297" t="str">
        <f t="shared" si="9"/>
        <v>4</v>
      </c>
      <c r="C297" t="s">
        <v>296</v>
      </c>
      <c r="D297">
        <v>979</v>
      </c>
      <c r="E297">
        <v>8.1552</v>
      </c>
      <c r="F297">
        <v>7.6349</v>
      </c>
      <c r="G297">
        <v>2</v>
      </c>
    </row>
    <row r="298" spans="1:7">
      <c r="A298" t="str">
        <f t="shared" si="8"/>
        <v>11.27</v>
      </c>
      <c r="B298" t="str">
        <f t="shared" si="9"/>
        <v>4</v>
      </c>
      <c r="C298" t="s">
        <v>297</v>
      </c>
      <c r="D298">
        <v>1004.2</v>
      </c>
      <c r="E298">
        <v>7.1236</v>
      </c>
      <c r="F298">
        <v>6.3439</v>
      </c>
      <c r="G298">
        <v>2</v>
      </c>
    </row>
    <row r="299" spans="1:7">
      <c r="A299" t="str">
        <f t="shared" si="8"/>
        <v>11.28</v>
      </c>
      <c r="B299" t="str">
        <f t="shared" si="9"/>
        <v>4</v>
      </c>
      <c r="C299" t="s">
        <v>298</v>
      </c>
      <c r="D299">
        <v>1027.5</v>
      </c>
      <c r="E299">
        <v>6.0139</v>
      </c>
      <c r="F299">
        <v>5.6552</v>
      </c>
      <c r="G299">
        <v>2</v>
      </c>
    </row>
    <row r="300" spans="1:7">
      <c r="A300" t="str">
        <f t="shared" si="8"/>
        <v>11.29</v>
      </c>
      <c r="B300" t="str">
        <f t="shared" si="9"/>
        <v>4</v>
      </c>
      <c r="C300" t="s">
        <v>299</v>
      </c>
      <c r="D300">
        <v>1051.7</v>
      </c>
      <c r="E300">
        <v>5.3382</v>
      </c>
      <c r="F300">
        <v>4.6943</v>
      </c>
    </row>
    <row r="301" spans="1:7">
      <c r="A301" t="str">
        <f t="shared" si="8"/>
        <v>11.30</v>
      </c>
      <c r="B301" t="str">
        <f t="shared" si="9"/>
        <v>4</v>
      </c>
      <c r="C301" t="s">
        <v>300</v>
      </c>
      <c r="D301">
        <v>1079.2</v>
      </c>
      <c r="E301">
        <v>4.1949</v>
      </c>
      <c r="F301">
        <v>3.9935</v>
      </c>
    </row>
    <row r="302" spans="1:7">
      <c r="A302" t="str">
        <f t="shared" si="8"/>
        <v>12.01</v>
      </c>
      <c r="B302" t="str">
        <f t="shared" si="9"/>
        <v>4</v>
      </c>
      <c r="C302" t="s">
        <v>301</v>
      </c>
      <c r="D302">
        <v>1101.4</v>
      </c>
      <c r="E302">
        <v>3.6837</v>
      </c>
      <c r="F302">
        <v>3.4556</v>
      </c>
    </row>
    <row r="303" spans="1:7">
      <c r="A303" t="str">
        <f t="shared" si="8"/>
        <v>12.02</v>
      </c>
      <c r="B303" t="str">
        <f t="shared" si="9"/>
        <v>4</v>
      </c>
      <c r="C303" t="s">
        <v>302</v>
      </c>
      <c r="D303">
        <v>1124.9</v>
      </c>
      <c r="E303">
        <v>3.1073</v>
      </c>
      <c r="F303">
        <v>2.9427</v>
      </c>
      <c r="G303">
        <v>1</v>
      </c>
    </row>
    <row r="304" spans="1:7">
      <c r="A304" t="str">
        <f t="shared" si="8"/>
        <v>12.03</v>
      </c>
      <c r="B304" t="str">
        <f t="shared" si="9"/>
        <v>4</v>
      </c>
      <c r="C304" t="s">
        <v>303</v>
      </c>
      <c r="D304">
        <v>1148.4</v>
      </c>
      <c r="E304">
        <v>2.7067</v>
      </c>
      <c r="F304">
        <v>2.6046</v>
      </c>
      <c r="G304">
        <v>1</v>
      </c>
    </row>
    <row r="305" spans="1:7">
      <c r="A305" t="str">
        <f t="shared" si="8"/>
        <v>12.04</v>
      </c>
      <c r="B305" t="str">
        <f t="shared" si="9"/>
        <v>4</v>
      </c>
      <c r="C305" t="s">
        <v>304</v>
      </c>
      <c r="D305">
        <v>1173.1</v>
      </c>
      <c r="E305">
        <v>2.3568</v>
      </c>
      <c r="F305">
        <v>2.1778</v>
      </c>
      <c r="G305">
        <v>1</v>
      </c>
    </row>
    <row r="306" spans="1:7">
      <c r="A306" t="str">
        <f t="shared" si="8"/>
        <v>12.05</v>
      </c>
      <c r="B306" t="str">
        <f t="shared" si="9"/>
        <v>4</v>
      </c>
      <c r="C306" t="s">
        <v>305</v>
      </c>
      <c r="D306">
        <v>1196.5</v>
      </c>
      <c r="E306">
        <v>1.8979</v>
      </c>
      <c r="F306">
        <v>2.0095</v>
      </c>
      <c r="G306">
        <v>1</v>
      </c>
    </row>
    <row r="307" spans="1:7">
      <c r="A307" t="str">
        <f t="shared" si="8"/>
        <v>12.02</v>
      </c>
      <c r="B307" t="str">
        <f t="shared" si="9"/>
        <v>4</v>
      </c>
      <c r="C307" t="s">
        <v>306</v>
      </c>
      <c r="D307">
        <v>1125.5</v>
      </c>
      <c r="E307">
        <v>6.761</v>
      </c>
      <c r="F307">
        <v>6.529</v>
      </c>
      <c r="G307">
        <v>2</v>
      </c>
    </row>
    <row r="308" spans="1:7">
      <c r="A308" t="str">
        <f t="shared" si="8"/>
        <v>12.03</v>
      </c>
      <c r="B308" t="str">
        <f t="shared" si="9"/>
        <v>4</v>
      </c>
      <c r="C308" t="s">
        <v>307</v>
      </c>
      <c r="D308">
        <v>1148</v>
      </c>
      <c r="E308">
        <v>5.7963</v>
      </c>
      <c r="F308">
        <v>5.5904</v>
      </c>
      <c r="G308">
        <v>2</v>
      </c>
    </row>
    <row r="309" spans="1:7">
      <c r="A309" t="str">
        <f t="shared" si="8"/>
        <v>12.04</v>
      </c>
      <c r="B309" t="str">
        <f t="shared" si="9"/>
        <v>4</v>
      </c>
      <c r="C309" t="s">
        <v>308</v>
      </c>
      <c r="D309">
        <v>1173.3</v>
      </c>
      <c r="E309">
        <v>4.7796</v>
      </c>
      <c r="F309">
        <v>4.6947</v>
      </c>
      <c r="G309">
        <v>2</v>
      </c>
    </row>
    <row r="310" spans="1:7">
      <c r="A310" t="str">
        <f t="shared" si="8"/>
        <v>12.05</v>
      </c>
      <c r="B310" t="str">
        <f t="shared" si="9"/>
        <v>4</v>
      </c>
      <c r="C310" t="s">
        <v>309</v>
      </c>
      <c r="D310">
        <v>1196.1</v>
      </c>
      <c r="E310">
        <v>4.2618</v>
      </c>
      <c r="F310">
        <v>4.1584</v>
      </c>
      <c r="G310">
        <v>2</v>
      </c>
    </row>
    <row r="311" spans="1:7">
      <c r="A311" t="str">
        <f t="shared" si="8"/>
        <v>12.06</v>
      </c>
      <c r="B311" t="str">
        <f t="shared" si="9"/>
        <v>4</v>
      </c>
      <c r="C311" t="s">
        <v>310</v>
      </c>
      <c r="D311">
        <v>1221.1</v>
      </c>
      <c r="E311">
        <v>3.5325</v>
      </c>
      <c r="F311">
        <v>3.498</v>
      </c>
    </row>
    <row r="312" spans="1:7">
      <c r="A312" t="str">
        <f t="shared" si="8"/>
        <v>12.07</v>
      </c>
      <c r="B312" t="str">
        <f t="shared" si="9"/>
        <v>4</v>
      </c>
      <c r="C312" t="s">
        <v>311</v>
      </c>
      <c r="D312">
        <v>1245.3</v>
      </c>
      <c r="E312">
        <v>2.9554</v>
      </c>
      <c r="F312">
        <v>3.0548</v>
      </c>
    </row>
    <row r="313" spans="1:7">
      <c r="A313" t="str">
        <f t="shared" si="8"/>
        <v>12.08</v>
      </c>
      <c r="B313" t="str">
        <f t="shared" si="9"/>
        <v>4</v>
      </c>
      <c r="C313" t="s">
        <v>312</v>
      </c>
      <c r="D313">
        <v>1269.2</v>
      </c>
      <c r="E313">
        <v>2.5218</v>
      </c>
      <c r="F313">
        <v>2.3852</v>
      </c>
    </row>
    <row r="314" spans="1:7">
      <c r="A314" t="str">
        <f t="shared" si="8"/>
        <v>12.09</v>
      </c>
      <c r="B314" t="str">
        <f t="shared" si="9"/>
        <v>4</v>
      </c>
      <c r="C314" t="s">
        <v>313</v>
      </c>
      <c r="D314">
        <v>1293.8</v>
      </c>
      <c r="E314">
        <v>2.1972</v>
      </c>
      <c r="F314">
        <v>1.9729</v>
      </c>
    </row>
    <row r="315" spans="1:7">
      <c r="A315" t="str">
        <f t="shared" si="8"/>
        <v>12.10</v>
      </c>
      <c r="B315" t="str">
        <f t="shared" si="9"/>
        <v>4</v>
      </c>
      <c r="C315" t="s">
        <v>314</v>
      </c>
      <c r="D315">
        <v>1317.2</v>
      </c>
      <c r="E315">
        <v>1.7496</v>
      </c>
      <c r="F315">
        <v>1.9445</v>
      </c>
    </row>
    <row r="316" spans="1:7">
      <c r="A316" t="str">
        <f t="shared" si="8"/>
        <v>12.11</v>
      </c>
      <c r="B316" t="str">
        <f t="shared" si="9"/>
        <v>4</v>
      </c>
      <c r="C316" t="s">
        <v>315</v>
      </c>
      <c r="D316">
        <v>1342.8</v>
      </c>
      <c r="E316">
        <v>1.4928</v>
      </c>
      <c r="F316">
        <v>1.6094</v>
      </c>
    </row>
    <row r="317" spans="1:7">
      <c r="A317" t="str">
        <f t="shared" si="8"/>
        <v>12.12</v>
      </c>
      <c r="B317" t="str">
        <f t="shared" si="9"/>
        <v>4</v>
      </c>
      <c r="C317" t="s">
        <v>316</v>
      </c>
      <c r="D317">
        <v>1366.2</v>
      </c>
      <c r="E317">
        <v>1.2486</v>
      </c>
      <c r="F317">
        <v>1.3839</v>
      </c>
    </row>
    <row r="318" spans="1:7">
      <c r="A318" t="str">
        <f t="shared" si="8"/>
        <v>12.13</v>
      </c>
      <c r="B318" t="str">
        <f t="shared" si="9"/>
        <v>4</v>
      </c>
      <c r="C318" t="s">
        <v>317</v>
      </c>
      <c r="D318">
        <v>1391.3</v>
      </c>
      <c r="E318">
        <v>1.0294</v>
      </c>
      <c r="F318">
        <v>1.14</v>
      </c>
    </row>
    <row r="319" spans="1:7">
      <c r="A319" t="str">
        <f t="shared" si="8"/>
        <v>12.14</v>
      </c>
      <c r="B319" t="str">
        <f t="shared" si="9"/>
        <v>4</v>
      </c>
      <c r="C319" t="s">
        <v>318</v>
      </c>
      <c r="D319">
        <v>1421.4</v>
      </c>
      <c r="E319">
        <v>0.8142</v>
      </c>
      <c r="F319">
        <v>0.9569</v>
      </c>
    </row>
    <row r="320" spans="1:7">
      <c r="A320" t="str">
        <f t="shared" si="8"/>
        <v>12.15</v>
      </c>
      <c r="B320" t="str">
        <f t="shared" si="9"/>
        <v>4</v>
      </c>
      <c r="C320" t="s">
        <v>319</v>
      </c>
      <c r="D320">
        <v>1433.2</v>
      </c>
      <c r="E320">
        <v>0.7655</v>
      </c>
      <c r="F320">
        <v>0.9275</v>
      </c>
    </row>
    <row r="321" spans="1:6">
      <c r="A321" t="str">
        <f>LEFT(C321,FIND("_",C321)-1)</f>
        <v>12.16</v>
      </c>
      <c r="B321" t="str">
        <f>MID(C321,FIND("_",C321)+1,FIND("_",C321,FIND("_",C321)+1)-FIND("_",C321)-1)</f>
        <v>4</v>
      </c>
      <c r="C321" t="s">
        <v>320</v>
      </c>
      <c r="D321">
        <v>1469.6</v>
      </c>
      <c r="E321">
        <v>0.5556</v>
      </c>
      <c r="F321">
        <v>0.786</v>
      </c>
    </row>
    <row r="322" spans="1:6">
      <c r="A322" t="str">
        <f>LEFT(C322,FIND("_",C322)-1)</f>
        <v>12.17</v>
      </c>
      <c r="B322" t="str">
        <f>MID(C322,FIND("_",C322)+1,FIND("_",C322,FIND("_",C322)+1)-FIND("_",C322)-1)</f>
        <v>4</v>
      </c>
      <c r="C322" t="s">
        <v>321</v>
      </c>
      <c r="D322">
        <v>1488.1</v>
      </c>
      <c r="E322">
        <v>0.4242</v>
      </c>
      <c r="F322">
        <v>0.5777</v>
      </c>
    </row>
    <row r="323" spans="1:6">
      <c r="A323" t="str">
        <f>LEFT(C323,FIND("_",C323)-1)</f>
        <v>12.18</v>
      </c>
      <c r="B323" t="str">
        <f>MID(C323,FIND("_",C323)+1,FIND("_",C323,FIND("_",C323)+1)-FIND("_",C323)-1)</f>
        <v>4</v>
      </c>
      <c r="C323" t="s">
        <v>322</v>
      </c>
      <c r="D323">
        <v>1518.4</v>
      </c>
      <c r="E323">
        <v>0.3576</v>
      </c>
      <c r="F323">
        <v>0.5155</v>
      </c>
    </row>
    <row r="324" spans="1:6">
      <c r="A324" t="str">
        <f>LEFT(C324,FIND("_",C324)-1)</f>
        <v>12.19</v>
      </c>
      <c r="B324" t="str">
        <f>MID(C324,FIND("_",C324)+1,FIND("_",C324,FIND("_",C324)+1)-FIND("_",C324)-1)</f>
        <v>4</v>
      </c>
      <c r="C324" t="s">
        <v>323</v>
      </c>
      <c r="D324">
        <v>1529.2</v>
      </c>
      <c r="E324">
        <v>0.3144</v>
      </c>
      <c r="F324">
        <v>0.3757</v>
      </c>
    </row>
  </sheetData>
  <sortState ref="C303:G310">
    <sortCondition ref="G303:G31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4"/>
  <sheetViews>
    <sheetView topLeftCell="I1" workbookViewId="0">
      <selection activeCell="W5" sqref="W5"/>
    </sheetView>
  </sheetViews>
  <sheetFormatPr defaultColWidth="9" defaultRowHeight="14.4"/>
  <cols>
    <col min="1" max="1" width="13" hidden="1" customWidth="1"/>
    <col min="2" max="2" width="10.6666666666667" style="17" customWidth="1"/>
    <col min="3" max="3" width="9.77777777777778" customWidth="1"/>
    <col min="4" max="4" width="11.1111111111111" customWidth="1"/>
    <col min="5" max="5" width="9.44444444444444" customWidth="1"/>
    <col min="6" max="6" width="10.6666666666667" customWidth="1"/>
    <col min="7" max="7" width="8.44444444444444" style="17" customWidth="1"/>
    <col min="8" max="8" width="15" customWidth="1"/>
    <col min="9" max="9" width="11.1111111111111" customWidth="1"/>
    <col min="10" max="10" width="15" customWidth="1"/>
    <col min="11" max="11" width="12.3333333333333" customWidth="1"/>
    <col min="12" max="13" width="12.8888888888889" hidden="1" customWidth="1"/>
    <col min="14" max="14" width="13" hidden="1" customWidth="1"/>
    <col min="15" max="15" width="9.11111111111111" style="17" customWidth="1"/>
    <col min="16" max="19" width="12.8888888888889" customWidth="1"/>
    <col min="20" max="20" width="8.55555555555556" style="17" customWidth="1"/>
    <col min="21" max="24" width="15" customWidth="1"/>
    <col min="25" max="26" width="12.8888888888889" hidden="1" customWidth="1"/>
    <col min="27" max="28" width="12.8888888888889" customWidth="1"/>
    <col min="29" max="29" width="16.2222222222222" customWidth="1"/>
    <col min="30" max="30" width="12.8888888888889" customWidth="1"/>
    <col min="31" max="34" width="12.8888888888889"/>
  </cols>
  <sheetData>
    <row r="1" ht="17.4" spans="1:33">
      <c r="A1" s="1" t="s">
        <v>324</v>
      </c>
      <c r="B1" s="18" t="s">
        <v>325</v>
      </c>
      <c r="C1" s="1">
        <v>747</v>
      </c>
      <c r="D1" s="1" t="s">
        <v>326</v>
      </c>
      <c r="E1" s="1" t="s">
        <v>327</v>
      </c>
      <c r="F1" s="1" t="s">
        <v>328</v>
      </c>
      <c r="G1" s="18" t="s">
        <v>325</v>
      </c>
      <c r="H1" s="1" t="s">
        <v>329</v>
      </c>
      <c r="I1" s="1" t="s">
        <v>326</v>
      </c>
      <c r="J1" s="1" t="s">
        <v>330</v>
      </c>
      <c r="K1" s="1" t="s">
        <v>328</v>
      </c>
      <c r="L1" s="1" t="s">
        <v>331</v>
      </c>
      <c r="M1" s="1" t="s">
        <v>332</v>
      </c>
      <c r="N1" s="2" t="s">
        <v>333</v>
      </c>
      <c r="O1" s="18" t="s">
        <v>325</v>
      </c>
      <c r="P1" s="1" t="s">
        <v>334</v>
      </c>
      <c r="Q1" s="1" t="s">
        <v>326</v>
      </c>
      <c r="R1" s="1" t="s">
        <v>327</v>
      </c>
      <c r="S1" s="1" t="s">
        <v>328</v>
      </c>
      <c r="T1" s="18"/>
      <c r="U1" s="1" t="s">
        <v>329</v>
      </c>
      <c r="V1" s="1" t="s">
        <v>326</v>
      </c>
      <c r="W1" s="1" t="s">
        <v>330</v>
      </c>
      <c r="X1" s="1" t="s">
        <v>328</v>
      </c>
      <c r="Y1" s="1" t="s">
        <v>331</v>
      </c>
      <c r="Z1" s="1" t="s">
        <v>332</v>
      </c>
      <c r="AA1" s="1"/>
      <c r="AC1" t="s">
        <v>335</v>
      </c>
    </row>
    <row r="2" spans="1:33">
      <c r="A2" s="3" t="s">
        <v>336</v>
      </c>
      <c r="N2" s="4" t="s">
        <v>336</v>
      </c>
      <c r="O2" s="19">
        <v>54.6</v>
      </c>
      <c r="P2" s="5">
        <v>12.9519</v>
      </c>
      <c r="Q2" s="4">
        <v>0.1863</v>
      </c>
      <c r="R2" s="5">
        <v>3.9444</v>
      </c>
      <c r="S2" s="4">
        <v>0.1409</v>
      </c>
      <c r="T2" s="19">
        <f>O2</f>
        <v>54.6</v>
      </c>
      <c r="U2" s="5">
        <f>LN(P2)+$AF$49+$AF$42+$AF$29+$AF$20</f>
        <v>8.85955827048409</v>
      </c>
      <c r="V2" s="5">
        <f>Q2/P2</f>
        <v>0.0143839899937461</v>
      </c>
      <c r="W2" s="5">
        <f>LN(R2)+$AH$49+$AH$42+$AH$29+$AH$20</f>
        <v>8.69423677898915</v>
      </c>
      <c r="X2" s="5">
        <f>S2/R2</f>
        <v>0.0357215292566677</v>
      </c>
      <c r="Y2" s="5">
        <f>P2*$AB$20*$AB$29*$AB$42*$AB$49</f>
        <v>7058.90319331379</v>
      </c>
      <c r="Z2" s="5">
        <f t="shared" ref="Z2:Z14" si="0">R2*$AD$20*$AD$29*$AD$42*$AD$49</f>
        <v>5979.00861928624</v>
      </c>
      <c r="AC2" s="5" t="s">
        <v>337</v>
      </c>
    </row>
    <row r="3" spans="1:33">
      <c r="A3" s="3" t="s">
        <v>338</v>
      </c>
      <c r="N3" s="4" t="s">
        <v>338</v>
      </c>
      <c r="O3" s="19">
        <v>90.8</v>
      </c>
      <c r="P3" s="5">
        <v>9.9829</v>
      </c>
      <c r="Q3" s="4">
        <v>0.1643</v>
      </c>
      <c r="R3" s="5">
        <v>3.1604</v>
      </c>
      <c r="S3" s="4">
        <v>0.1273</v>
      </c>
      <c r="T3" s="19">
        <f t="shared" ref="T3:T14" si="1">O3</f>
        <v>90.8</v>
      </c>
      <c r="U3" s="5">
        <f t="shared" ref="U3:U14" si="2">LN(P3)+$AF$49+$AF$42+$AF$29+$AF$20</f>
        <v>8.59918940422905</v>
      </c>
      <c r="V3" s="5">
        <f t="shared" ref="V3:V14" si="3">Q3/P3</f>
        <v>0.0164581434252572</v>
      </c>
      <c r="W3" s="5">
        <f t="shared" ref="W3:W14" si="4">LN(R3)+$AH$49+$AH$42+$AH$29+$AH$20</f>
        <v>8.47263852937955</v>
      </c>
      <c r="X3" s="5">
        <f t="shared" ref="X3:X14" si="5">S3/R3</f>
        <v>0.040279711428933</v>
      </c>
      <c r="Y3" s="5">
        <f t="shared" ref="Y2:Y14" si="6">P3*$AB$20*$AB$29*$AB$42*$AB$49</f>
        <v>5440.77121414868</v>
      </c>
      <c r="Z3" s="5">
        <f t="shared" si="0"/>
        <v>4790.60410718797</v>
      </c>
      <c r="AC3" s="6" t="s">
        <v>339</v>
      </c>
    </row>
    <row r="4" spans="1:33">
      <c r="A4" s="3" t="s">
        <v>340</v>
      </c>
      <c r="N4" s="4" t="s">
        <v>340</v>
      </c>
      <c r="O4" s="19">
        <v>114.3</v>
      </c>
      <c r="P4" s="5">
        <v>8.722</v>
      </c>
      <c r="Q4" s="4">
        <v>0.1432</v>
      </c>
      <c r="R4" s="5">
        <v>2.7268</v>
      </c>
      <c r="S4" s="4">
        <v>0.1111</v>
      </c>
      <c r="T4" s="19">
        <f t="shared" si="1"/>
        <v>114.3</v>
      </c>
      <c r="U4" s="5">
        <f t="shared" si="2"/>
        <v>8.46416434437446</v>
      </c>
      <c r="V4" s="5">
        <f t="shared" si="3"/>
        <v>0.0164182526943362</v>
      </c>
      <c r="W4" s="5">
        <f t="shared" si="4"/>
        <v>8.3250686880196</v>
      </c>
      <c r="X4" s="5">
        <f t="shared" si="5"/>
        <v>0.0407437289130116</v>
      </c>
      <c r="Y4" s="5">
        <f t="shared" si="6"/>
        <v>4753.56925640893</v>
      </c>
      <c r="Z4" s="5">
        <f t="shared" si="0"/>
        <v>4133.3436525377</v>
      </c>
      <c r="AC4" s="7" t="s">
        <v>341</v>
      </c>
    </row>
    <row r="5" spans="1:33">
      <c r="A5" s="3" t="s">
        <v>342</v>
      </c>
      <c r="N5" s="4" t="s">
        <v>342</v>
      </c>
      <c r="O5" s="19">
        <v>138.2</v>
      </c>
      <c r="P5" s="5">
        <v>7.3955</v>
      </c>
      <c r="Q5" s="4">
        <v>0.1347</v>
      </c>
      <c r="R5" s="5">
        <v>2.3715</v>
      </c>
      <c r="S5" s="4">
        <v>0.1061</v>
      </c>
      <c r="T5" s="19">
        <f t="shared" si="1"/>
        <v>138.2</v>
      </c>
      <c r="U5" s="5">
        <f t="shared" si="2"/>
        <v>8.29918748208317</v>
      </c>
      <c r="V5" s="5">
        <f t="shared" si="3"/>
        <v>0.0182137786491786</v>
      </c>
      <c r="W5" s="5">
        <f t="shared" si="4"/>
        <v>8.18546259384861</v>
      </c>
      <c r="X5" s="5">
        <f t="shared" si="5"/>
        <v>0.0447396162766182</v>
      </c>
      <c r="Y5" s="5">
        <f t="shared" si="6"/>
        <v>4030.61470256504</v>
      </c>
      <c r="Z5" s="5">
        <f t="shared" si="0"/>
        <v>3594.77206688909</v>
      </c>
      <c r="AC5" s="8" t="s">
        <v>343</v>
      </c>
    </row>
    <row r="6" spans="1:33">
      <c r="A6" s="3" t="s">
        <v>344</v>
      </c>
      <c r="N6" s="4" t="s">
        <v>344</v>
      </c>
      <c r="O6" s="19">
        <v>162.2</v>
      </c>
      <c r="P6" s="5">
        <v>6.1763</v>
      </c>
      <c r="Q6" s="4">
        <v>0.1179</v>
      </c>
      <c r="R6" s="5">
        <v>2.0412</v>
      </c>
      <c r="S6" s="4">
        <v>0.0948</v>
      </c>
      <c r="T6" s="19">
        <f t="shared" si="1"/>
        <v>162.2</v>
      </c>
      <c r="U6" s="5">
        <f t="shared" si="2"/>
        <v>8.11903516162616</v>
      </c>
      <c r="V6" s="5">
        <f t="shared" si="3"/>
        <v>0.0190890986512961</v>
      </c>
      <c r="W6" s="5">
        <f t="shared" si="4"/>
        <v>8.03547779772079</v>
      </c>
      <c r="X6" s="5">
        <f t="shared" si="5"/>
        <v>0.0464432686654909</v>
      </c>
      <c r="Y6" s="5">
        <f t="shared" si="6"/>
        <v>3366.13962375126</v>
      </c>
      <c r="Z6" s="5">
        <f t="shared" si="0"/>
        <v>3094.09603328442</v>
      </c>
      <c r="AC6" s="9" t="s">
        <v>345</v>
      </c>
    </row>
    <row r="7" spans="1:33">
      <c r="A7" s="3" t="s">
        <v>346</v>
      </c>
      <c r="N7" s="4" t="s">
        <v>346</v>
      </c>
      <c r="O7" s="19">
        <v>186.2</v>
      </c>
      <c r="P7" s="5">
        <v>5.4153</v>
      </c>
      <c r="Q7" s="4">
        <v>0.1121</v>
      </c>
      <c r="R7" s="5">
        <v>1.7413</v>
      </c>
      <c r="S7" s="4">
        <v>0.0892</v>
      </c>
      <c r="T7" s="19">
        <f t="shared" si="1"/>
        <v>186.2</v>
      </c>
      <c r="U7" s="5">
        <f t="shared" si="2"/>
        <v>7.98754405553427</v>
      </c>
      <c r="V7" s="5">
        <f t="shared" si="3"/>
        <v>0.0207006075379019</v>
      </c>
      <c r="W7" s="5">
        <f t="shared" si="4"/>
        <v>7.87657188821631</v>
      </c>
      <c r="X7" s="5">
        <f t="shared" si="5"/>
        <v>0.0512260954459312</v>
      </c>
      <c r="Y7" s="5">
        <f t="shared" si="6"/>
        <v>2951.3877085796</v>
      </c>
      <c r="Z7" s="5">
        <f t="shared" si="0"/>
        <v>2639.5009909652</v>
      </c>
    </row>
    <row r="8" spans="1:33">
      <c r="A8" s="3" t="s">
        <v>347</v>
      </c>
      <c r="N8" s="4" t="s">
        <v>347</v>
      </c>
      <c r="O8" s="19">
        <v>210.4</v>
      </c>
      <c r="P8" s="5">
        <v>4.7509</v>
      </c>
      <c r="Q8" s="4">
        <v>0.0746</v>
      </c>
      <c r="R8" s="5">
        <v>1.3669</v>
      </c>
      <c r="S8" s="4">
        <v>0.0584</v>
      </c>
      <c r="T8" s="19">
        <f t="shared" si="1"/>
        <v>210.4</v>
      </c>
      <c r="U8" s="5">
        <f t="shared" si="2"/>
        <v>7.85664984873677</v>
      </c>
      <c r="V8" s="5">
        <f t="shared" si="3"/>
        <v>0.0157022879875392</v>
      </c>
      <c r="W8" s="5">
        <f t="shared" si="4"/>
        <v>7.63448532968958</v>
      </c>
      <c r="X8" s="5">
        <f t="shared" si="5"/>
        <v>0.0427244129051138</v>
      </c>
      <c r="Y8" s="5">
        <f t="shared" si="6"/>
        <v>2589.28367120766</v>
      </c>
      <c r="Z8" s="5">
        <f t="shared" si="0"/>
        <v>2071.977203555</v>
      </c>
    </row>
    <row r="9" spans="1:33">
      <c r="A9" s="3" t="s">
        <v>348</v>
      </c>
      <c r="N9" s="4" t="s">
        <v>348</v>
      </c>
      <c r="O9" s="19">
        <v>234.7</v>
      </c>
      <c r="P9" s="5">
        <v>4.039</v>
      </c>
      <c r="Q9" s="4">
        <v>0.0635</v>
      </c>
      <c r="R9" s="5">
        <v>1.2614</v>
      </c>
      <c r="S9" s="4">
        <v>0.0501</v>
      </c>
      <c r="T9" s="19">
        <f t="shared" si="1"/>
        <v>234.7</v>
      </c>
      <c r="U9" s="5">
        <f t="shared" si="2"/>
        <v>7.69431291153516</v>
      </c>
      <c r="V9" s="5">
        <f t="shared" si="3"/>
        <v>0.0157217132953701</v>
      </c>
      <c r="W9" s="5">
        <f t="shared" si="4"/>
        <v>7.55416214276052</v>
      </c>
      <c r="X9" s="5">
        <f t="shared" si="5"/>
        <v>0.0397177739020136</v>
      </c>
      <c r="Y9" s="5">
        <f t="shared" si="6"/>
        <v>2201.29170220542</v>
      </c>
      <c r="Z9" s="5">
        <f t="shared" si="0"/>
        <v>1912.05797392954</v>
      </c>
    </row>
    <row r="10" spans="1:33">
      <c r="A10" s="3" t="s">
        <v>349</v>
      </c>
      <c r="N10" s="4" t="s">
        <v>349</v>
      </c>
      <c r="O10" s="19">
        <v>258.9</v>
      </c>
      <c r="P10" s="5">
        <v>3.4398</v>
      </c>
      <c r="Q10" s="4">
        <v>0.0539</v>
      </c>
      <c r="R10" s="5">
        <v>1.0992</v>
      </c>
      <c r="S10" s="4">
        <v>0.0428</v>
      </c>
      <c r="T10" s="19">
        <f t="shared" si="1"/>
        <v>258.9</v>
      </c>
      <c r="U10" s="5">
        <f t="shared" si="2"/>
        <v>7.53372910511414</v>
      </c>
      <c r="V10" s="5">
        <f t="shared" si="3"/>
        <v>0.0156695156695157</v>
      </c>
      <c r="W10" s="5">
        <f t="shared" si="4"/>
        <v>7.41652256999906</v>
      </c>
      <c r="X10" s="5">
        <f t="shared" si="5"/>
        <v>0.0389374090247453</v>
      </c>
      <c r="Y10" s="5">
        <f t="shared" si="6"/>
        <v>1874.72225730285</v>
      </c>
      <c r="Z10" s="5">
        <f t="shared" si="0"/>
        <v>1666.19163226839</v>
      </c>
    </row>
    <row r="11" spans="1:33">
      <c r="A11" s="3" t="s">
        <v>350</v>
      </c>
      <c r="N11" s="4" t="s">
        <v>350</v>
      </c>
      <c r="O11" s="19">
        <v>283</v>
      </c>
      <c r="P11" s="5">
        <v>2.9241</v>
      </c>
      <c r="Q11" s="4">
        <v>0.0455</v>
      </c>
      <c r="R11" s="5">
        <v>0.9129</v>
      </c>
      <c r="S11" s="4">
        <v>0.0362</v>
      </c>
      <c r="T11" s="19">
        <f t="shared" si="1"/>
        <v>283</v>
      </c>
      <c r="U11" s="5">
        <f t="shared" si="2"/>
        <v>7.37130251598302</v>
      </c>
      <c r="V11" s="5">
        <f t="shared" si="3"/>
        <v>0.0155603433535105</v>
      </c>
      <c r="W11" s="5">
        <f t="shared" si="4"/>
        <v>7.23081099410201</v>
      </c>
      <c r="X11" s="5">
        <f t="shared" si="5"/>
        <v>0.0396538503669624</v>
      </c>
      <c r="Y11" s="5">
        <f t="shared" si="6"/>
        <v>1593.6610711609</v>
      </c>
      <c r="Z11" s="5">
        <f t="shared" si="0"/>
        <v>1383.79397843687</v>
      </c>
    </row>
    <row r="12" spans="1:33">
      <c r="A12" s="10" t="s">
        <v>351</v>
      </c>
      <c r="B12" s="20">
        <v>309.5</v>
      </c>
      <c r="C12" s="11">
        <v>19.1662</v>
      </c>
      <c r="D12" s="11">
        <v>0.2943</v>
      </c>
      <c r="E12" s="11">
        <v>13.7423</v>
      </c>
      <c r="F12" s="11">
        <v>0.2748</v>
      </c>
      <c r="G12" s="20">
        <f>B12</f>
        <v>309.5</v>
      </c>
      <c r="H12" s="11">
        <f>LN(C12)+$AF$49+$AF$42+$AF$29</f>
        <v>7.18643514600696</v>
      </c>
      <c r="I12" s="11">
        <f>D12/C12</f>
        <v>0.015355156473375</v>
      </c>
      <c r="J12" s="11">
        <f>LN(E12)+$AH$49+$AH$42+$AH$29</f>
        <v>7.08206297098566</v>
      </c>
      <c r="K12" s="11">
        <f>F12/E12</f>
        <v>0.0199966526709503</v>
      </c>
      <c r="L12" s="11">
        <f t="shared" ref="L12:L29" si="7">C12*$AB$29*$AB$42*$AB$49</f>
        <v>1324.40243573009</v>
      </c>
      <c r="M12" s="11">
        <f t="shared" ref="M12:M29" si="8">E12*$AD$29*$AD$42*$AD$49</f>
        <v>1191.91059284671</v>
      </c>
      <c r="N12" s="4" t="s">
        <v>351</v>
      </c>
      <c r="O12" s="19">
        <v>307.1</v>
      </c>
      <c r="P12" s="5">
        <v>2.4787</v>
      </c>
      <c r="Q12" s="4">
        <v>0.0455</v>
      </c>
      <c r="R12" s="5">
        <v>0.7833</v>
      </c>
      <c r="S12" s="4">
        <v>0.0366</v>
      </c>
      <c r="T12" s="19">
        <f t="shared" si="1"/>
        <v>307.1</v>
      </c>
      <c r="U12" s="5">
        <f t="shared" si="2"/>
        <v>7.20605000414491</v>
      </c>
      <c r="V12" s="5">
        <f t="shared" si="3"/>
        <v>0.0183563964981644</v>
      </c>
      <c r="W12" s="5">
        <f t="shared" si="4"/>
        <v>7.07770041290417</v>
      </c>
      <c r="X12" s="5">
        <f t="shared" si="5"/>
        <v>0.0467253925698966</v>
      </c>
      <c r="Y12" s="5">
        <f t="shared" si="6"/>
        <v>1350.91402383178</v>
      </c>
      <c r="Z12" s="5">
        <f t="shared" si="0"/>
        <v>1187.34343664104</v>
      </c>
      <c r="AA12">
        <f t="shared" ref="AA12:AA14" si="9">C12/P12</f>
        <v>7.73235970468391</v>
      </c>
      <c r="AC12">
        <f t="shared" ref="AC12:AC14" si="10">E12/R12</f>
        <v>17.544108259926</v>
      </c>
      <c r="AE12">
        <f>LN(C12)-LN(P12)</f>
        <v>2.04541408182166</v>
      </c>
      <c r="AG12">
        <f>LN(E12)-LN(R12)</f>
        <v>2.86471818186296</v>
      </c>
    </row>
    <row r="13" spans="1:33">
      <c r="A13" s="10" t="s">
        <v>352</v>
      </c>
      <c r="B13" s="20">
        <v>330.5</v>
      </c>
      <c r="C13" s="11">
        <v>16.9645</v>
      </c>
      <c r="D13" s="11">
        <v>0.2576</v>
      </c>
      <c r="E13" s="11">
        <v>11.394</v>
      </c>
      <c r="F13" s="11">
        <v>0.2368</v>
      </c>
      <c r="G13" s="20">
        <f t="shared" ref="G13:G29" si="11">B13</f>
        <v>330.5</v>
      </c>
      <c r="H13" s="11">
        <f>LN(C13)+$AF$49+$AF$42+$AF$29</f>
        <v>7.06440976035287</v>
      </c>
      <c r="I13" s="11">
        <f t="shared" ref="I13:I29" si="12">D13/C13</f>
        <v>0.0151846502991541</v>
      </c>
      <c r="J13" s="11">
        <f t="shared" ref="J13:J29" si="13">LN(E13)+$AH$49+$AH$42+$AH$29</f>
        <v>6.89467120478985</v>
      </c>
      <c r="K13" s="11">
        <f t="shared" ref="K13:K29" si="14">F13/E13</f>
        <v>0.0207828681762331</v>
      </c>
      <c r="L13" s="11">
        <f t="shared" si="7"/>
        <v>1172.26289618929</v>
      </c>
      <c r="M13" s="11">
        <f t="shared" si="8"/>
        <v>988.235542441615</v>
      </c>
      <c r="N13" s="4" t="s">
        <v>353</v>
      </c>
      <c r="O13" s="19">
        <v>332.6</v>
      </c>
      <c r="P13" s="5">
        <v>2.0923</v>
      </c>
      <c r="Q13" s="4">
        <v>0.0438</v>
      </c>
      <c r="R13" s="5">
        <v>0.6284</v>
      </c>
      <c r="S13" s="4">
        <v>0.0356</v>
      </c>
      <c r="T13" s="19">
        <f t="shared" si="1"/>
        <v>332.6</v>
      </c>
      <c r="U13" s="5">
        <f t="shared" si="2"/>
        <v>7.03657971431695</v>
      </c>
      <c r="V13" s="5">
        <f t="shared" si="3"/>
        <v>0.0209339004922812</v>
      </c>
      <c r="W13" s="5">
        <f t="shared" si="4"/>
        <v>6.85736155491244</v>
      </c>
      <c r="X13" s="5">
        <f t="shared" si="5"/>
        <v>0.0566518141311267</v>
      </c>
      <c r="Y13" s="5">
        <f t="shared" si="6"/>
        <v>1140.32251263293</v>
      </c>
      <c r="Z13" s="5">
        <f t="shared" si="0"/>
        <v>952.542596176724</v>
      </c>
      <c r="AA13">
        <f t="shared" si="9"/>
        <v>8.10806289729006</v>
      </c>
      <c r="AC13">
        <f t="shared" si="10"/>
        <v>18.1317632081477</v>
      </c>
      <c r="AE13">
        <f>LN(C13)-LN(P13)</f>
        <v>2.09285898599554</v>
      </c>
      <c r="AG13">
        <f>LN(E13)-LN(R13)</f>
        <v>2.89766527365887</v>
      </c>
    </row>
    <row r="14" spans="1:33">
      <c r="A14" s="10" t="s">
        <v>354</v>
      </c>
      <c r="B14" s="20">
        <v>356.8</v>
      </c>
      <c r="C14" s="11">
        <v>14.2272</v>
      </c>
      <c r="D14" s="11">
        <v>0.22</v>
      </c>
      <c r="E14" s="11">
        <v>9.4698</v>
      </c>
      <c r="F14" s="11">
        <v>0.204</v>
      </c>
      <c r="G14" s="20">
        <f t="shared" si="11"/>
        <v>356.8</v>
      </c>
      <c r="H14" s="11">
        <f t="shared" ref="H14:H29" si="15">LN(C14)+$AF$49+$AF$42+$AF$29</f>
        <v>6.88844246034195</v>
      </c>
      <c r="I14" s="11">
        <f t="shared" si="12"/>
        <v>0.0154633378317589</v>
      </c>
      <c r="J14" s="11">
        <f t="shared" si="13"/>
        <v>6.70969209138244</v>
      </c>
      <c r="K14" s="11">
        <f t="shared" si="14"/>
        <v>0.021542165621238</v>
      </c>
      <c r="L14" s="11">
        <f t="shared" si="7"/>
        <v>983.112893198401</v>
      </c>
      <c r="M14" s="11">
        <f t="shared" si="8"/>
        <v>821.343947675408</v>
      </c>
      <c r="N14" s="4" t="s">
        <v>355</v>
      </c>
      <c r="O14" s="19">
        <v>354.6</v>
      </c>
      <c r="P14" s="5">
        <v>1.8191</v>
      </c>
      <c r="Q14" s="21">
        <v>0.038</v>
      </c>
      <c r="R14" s="5">
        <v>0.5652</v>
      </c>
      <c r="S14" s="21">
        <v>0.031</v>
      </c>
      <c r="T14" s="19">
        <f t="shared" si="1"/>
        <v>354.6</v>
      </c>
      <c r="U14" s="5">
        <f t="shared" si="2"/>
        <v>6.89665764823991</v>
      </c>
      <c r="V14" s="5">
        <f t="shared" si="3"/>
        <v>0.0208894508273322</v>
      </c>
      <c r="W14" s="5">
        <f t="shared" si="4"/>
        <v>6.75136429934135</v>
      </c>
      <c r="X14" s="5">
        <f t="shared" si="5"/>
        <v>0.0548478414720453</v>
      </c>
      <c r="Y14" s="5">
        <f t="shared" si="6"/>
        <v>991.426030077218</v>
      </c>
      <c r="Z14" s="5">
        <f t="shared" si="0"/>
        <v>856.742640609619</v>
      </c>
      <c r="AA14">
        <f t="shared" si="9"/>
        <v>7.82101038975317</v>
      </c>
      <c r="AC14">
        <f t="shared" si="10"/>
        <v>16.7547770700637</v>
      </c>
      <c r="AE14">
        <f>LN(C14)-LN(P14)</f>
        <v>2.05681375206165</v>
      </c>
      <c r="AG14">
        <f>LN(E14)-LN(R14)</f>
        <v>2.81868341582255</v>
      </c>
    </row>
    <row r="15" spans="1:33">
      <c r="A15" s="10" t="s">
        <v>356</v>
      </c>
      <c r="B15" s="20">
        <v>378.2</v>
      </c>
      <c r="C15" s="11">
        <v>12.2043</v>
      </c>
      <c r="D15" s="11">
        <v>0.1817</v>
      </c>
      <c r="E15" s="11">
        <v>8.3739</v>
      </c>
      <c r="F15" s="11">
        <v>0.1695</v>
      </c>
      <c r="G15" s="20">
        <f t="shared" si="11"/>
        <v>378.2</v>
      </c>
      <c r="H15" s="11">
        <f t="shared" si="15"/>
        <v>6.73507518365078</v>
      </c>
      <c r="I15" s="11">
        <f t="shared" si="12"/>
        <v>0.0148881951443344</v>
      </c>
      <c r="J15" s="11">
        <f t="shared" si="13"/>
        <v>6.58670402953291</v>
      </c>
      <c r="K15" s="11">
        <f t="shared" si="14"/>
        <v>0.0202414645505678</v>
      </c>
      <c r="L15" s="11">
        <f t="shared" si="7"/>
        <v>843.328601724953</v>
      </c>
      <c r="M15" s="11">
        <f t="shared" si="8"/>
        <v>726.293277940305</v>
      </c>
      <c r="N15" s="4"/>
      <c r="O15" s="19"/>
      <c r="P15" s="5"/>
      <c r="Q15" s="5"/>
      <c r="R15" s="5"/>
      <c r="S15" s="5"/>
      <c r="T15" s="19"/>
      <c r="U15" s="5"/>
      <c r="V15" s="5"/>
      <c r="W15" s="5"/>
      <c r="X15" s="5"/>
      <c r="Y15" s="5"/>
      <c r="Z15" s="5"/>
    </row>
    <row r="16" spans="1:33">
      <c r="A16" s="10" t="s">
        <v>357</v>
      </c>
      <c r="B16" s="20">
        <v>402.3</v>
      </c>
      <c r="C16" s="11">
        <v>10.2335</v>
      </c>
      <c r="D16" s="11">
        <v>0.1518</v>
      </c>
      <c r="E16" s="11">
        <v>7.1346</v>
      </c>
      <c r="F16" s="11">
        <v>0.1437</v>
      </c>
      <c r="G16" s="20">
        <f t="shared" si="11"/>
        <v>402.3</v>
      </c>
      <c r="H16" s="11">
        <f t="shared" si="15"/>
        <v>6.55895348743163</v>
      </c>
      <c r="I16" s="11">
        <f t="shared" si="12"/>
        <v>0.0148336346313578</v>
      </c>
      <c r="J16" s="11">
        <f t="shared" si="13"/>
        <v>6.4265404914211</v>
      </c>
      <c r="K16" s="11">
        <f t="shared" si="14"/>
        <v>0.020141283323522</v>
      </c>
      <c r="L16" s="11">
        <f t="shared" si="7"/>
        <v>707.144469224151</v>
      </c>
      <c r="M16" s="11">
        <f t="shared" si="8"/>
        <v>618.805099271892</v>
      </c>
      <c r="N16" s="4"/>
      <c r="O16" s="19"/>
      <c r="P16" s="5"/>
      <c r="Q16" s="5"/>
      <c r="R16" s="5"/>
      <c r="S16" s="5"/>
      <c r="T16" s="19"/>
      <c r="U16" s="5"/>
      <c r="V16" s="5"/>
      <c r="W16" s="5"/>
      <c r="X16" s="5"/>
      <c r="Y16" s="5"/>
      <c r="Z16" s="5"/>
    </row>
    <row r="17" spans="1:34">
      <c r="A17" s="10" t="s">
        <v>358</v>
      </c>
      <c r="B17" s="20">
        <v>426.3</v>
      </c>
      <c r="C17" s="11">
        <v>8.9811</v>
      </c>
      <c r="D17" s="11">
        <v>0.1332</v>
      </c>
      <c r="E17" s="11">
        <v>6.0797</v>
      </c>
      <c r="F17" s="11">
        <v>0.1248</v>
      </c>
      <c r="G17" s="20">
        <f t="shared" si="11"/>
        <v>426.3</v>
      </c>
      <c r="H17" s="11">
        <f t="shared" si="15"/>
        <v>6.42840920423861</v>
      </c>
      <c r="I17" s="11">
        <f t="shared" si="12"/>
        <v>0.0148311454053512</v>
      </c>
      <c r="J17" s="11">
        <f t="shared" si="13"/>
        <v>6.2665396563871</v>
      </c>
      <c r="K17" s="11">
        <f t="shared" si="14"/>
        <v>0.0205273286510848</v>
      </c>
      <c r="L17" s="11">
        <f t="shared" si="7"/>
        <v>620.602452000686</v>
      </c>
      <c r="M17" s="11">
        <f t="shared" si="8"/>
        <v>527.310481602798</v>
      </c>
      <c r="N17" s="4"/>
      <c r="O17" s="19"/>
      <c r="P17" s="5"/>
      <c r="Q17" s="5"/>
      <c r="R17" s="5"/>
      <c r="S17" s="5"/>
      <c r="T17" s="19"/>
      <c r="U17" s="5"/>
      <c r="V17" s="5"/>
      <c r="W17" s="5"/>
      <c r="X17" s="5"/>
      <c r="Y17" s="5"/>
      <c r="Z17" s="5"/>
    </row>
    <row r="18" spans="1:34">
      <c r="A18" s="10" t="s">
        <v>359</v>
      </c>
      <c r="B18" s="20">
        <v>450.3</v>
      </c>
      <c r="C18" s="11">
        <v>7.7064</v>
      </c>
      <c r="D18" s="11">
        <v>0.1133</v>
      </c>
      <c r="E18" s="11">
        <v>5.2838</v>
      </c>
      <c r="F18" s="11">
        <v>0.107</v>
      </c>
      <c r="G18" s="20">
        <f t="shared" si="11"/>
        <v>450.3</v>
      </c>
      <c r="H18" s="11">
        <f t="shared" si="15"/>
        <v>6.27533798745554</v>
      </c>
      <c r="I18" s="11">
        <f t="shared" si="12"/>
        <v>0.0147020658154261</v>
      </c>
      <c r="J18" s="11">
        <f t="shared" si="13"/>
        <v>6.12622983956184</v>
      </c>
      <c r="K18" s="11">
        <f t="shared" si="14"/>
        <v>0.0202505772360801</v>
      </c>
      <c r="L18" s="11">
        <f t="shared" si="7"/>
        <v>532.519483815801</v>
      </c>
      <c r="M18" s="11">
        <f t="shared" si="8"/>
        <v>458.279705033614</v>
      </c>
      <c r="N18" s="4"/>
      <c r="O18" s="19"/>
      <c r="P18" s="5"/>
      <c r="Q18" s="5"/>
      <c r="R18" s="5"/>
      <c r="S18" s="5"/>
      <c r="T18" s="19"/>
      <c r="U18" s="5"/>
      <c r="V18" s="5"/>
      <c r="W18" s="5"/>
      <c r="X18" s="5"/>
      <c r="Y18" s="5"/>
      <c r="Z18" s="5"/>
    </row>
    <row r="19" spans="1:34">
      <c r="A19" s="10" t="s">
        <v>360</v>
      </c>
      <c r="B19" s="20">
        <v>474.9</v>
      </c>
      <c r="C19" s="11">
        <v>6.5107</v>
      </c>
      <c r="D19" s="11">
        <v>0.0978</v>
      </c>
      <c r="E19" s="11">
        <v>4.4602</v>
      </c>
      <c r="F19" s="11">
        <v>0.0928</v>
      </c>
      <c r="G19" s="20">
        <f t="shared" si="11"/>
        <v>474.9</v>
      </c>
      <c r="H19" s="11">
        <f t="shared" si="15"/>
        <v>6.10673381231586</v>
      </c>
      <c r="I19" s="11">
        <f t="shared" si="12"/>
        <v>0.0150214262675288</v>
      </c>
      <c r="J19" s="11">
        <f t="shared" si="13"/>
        <v>5.95677791180753</v>
      </c>
      <c r="K19" s="11">
        <f t="shared" si="14"/>
        <v>0.0208062418725618</v>
      </c>
      <c r="L19" s="11">
        <f t="shared" si="7"/>
        <v>449.895489888863</v>
      </c>
      <c r="M19" s="11">
        <f t="shared" si="8"/>
        <v>386.846424995444</v>
      </c>
      <c r="N19" s="4"/>
      <c r="O19" s="19"/>
      <c r="P19" s="5"/>
      <c r="Q19" s="5"/>
      <c r="R19" s="5"/>
      <c r="S19" s="5"/>
      <c r="T19" s="19"/>
      <c r="U19" s="5"/>
      <c r="V19" s="5"/>
      <c r="W19" s="5"/>
      <c r="X19" s="5"/>
      <c r="Y19" s="5"/>
      <c r="Z19" s="5"/>
    </row>
    <row r="20" spans="1:34">
      <c r="A20" s="10" t="s">
        <v>361</v>
      </c>
      <c r="B20" s="20">
        <v>498.3</v>
      </c>
      <c r="C20" s="11">
        <v>5.6954</v>
      </c>
      <c r="D20" s="11">
        <v>0.0846</v>
      </c>
      <c r="E20" s="11">
        <v>3.854</v>
      </c>
      <c r="F20" s="11">
        <v>0.0795</v>
      </c>
      <c r="G20" s="20">
        <f t="shared" si="11"/>
        <v>498.3</v>
      </c>
      <c r="H20" s="11">
        <f t="shared" si="15"/>
        <v>5.97294566647695</v>
      </c>
      <c r="I20" s="11">
        <f t="shared" si="12"/>
        <v>0.0148540927766268</v>
      </c>
      <c r="J20" s="11">
        <f t="shared" si="13"/>
        <v>5.81069587372382</v>
      </c>
      <c r="K20" s="11">
        <f t="shared" si="14"/>
        <v>0.0206279190451479</v>
      </c>
      <c r="L20" s="11">
        <f t="shared" si="7"/>
        <v>393.557493528043</v>
      </c>
      <c r="M20" s="11">
        <f t="shared" si="8"/>
        <v>334.268894204843</v>
      </c>
      <c r="N20" s="4"/>
      <c r="O20" s="19"/>
      <c r="P20" s="5"/>
      <c r="Q20" s="5"/>
      <c r="R20" s="5"/>
      <c r="S20" s="5"/>
      <c r="T20" s="19"/>
      <c r="U20" s="5"/>
      <c r="V20" s="5"/>
      <c r="W20" s="5"/>
      <c r="X20" s="5"/>
      <c r="Y20" s="5"/>
      <c r="Z20" s="5"/>
      <c r="AB20">
        <f>AVERAGE(AA12:AA14)</f>
        <v>7.88714433057572</v>
      </c>
      <c r="AD20">
        <f>AVERAGE(AC12:AC14)</f>
        <v>17.4768828460458</v>
      </c>
      <c r="AF20">
        <f>AVERAGE(AE12:AE14)</f>
        <v>2.06502893995962</v>
      </c>
      <c r="AH20">
        <f>AVERAGE(AG12:AG14)</f>
        <v>2.86035562378146</v>
      </c>
    </row>
    <row r="21" spans="1:34">
      <c r="A21" s="10" t="s">
        <v>362</v>
      </c>
      <c r="B21" s="20">
        <v>522.4</v>
      </c>
      <c r="C21" s="11">
        <v>4.7773</v>
      </c>
      <c r="D21" s="11">
        <v>0.0699</v>
      </c>
      <c r="E21" s="11">
        <v>3.3051</v>
      </c>
      <c r="F21" s="11">
        <v>0.0665</v>
      </c>
      <c r="G21" s="20">
        <f t="shared" si="11"/>
        <v>522.4</v>
      </c>
      <c r="H21" s="11">
        <f t="shared" si="15"/>
        <v>5.79716236835127</v>
      </c>
      <c r="I21" s="11">
        <f t="shared" si="12"/>
        <v>0.0146316957277123</v>
      </c>
      <c r="J21" s="11">
        <f t="shared" si="13"/>
        <v>5.65705103376364</v>
      </c>
      <c r="K21" s="11">
        <f t="shared" si="14"/>
        <v>0.0201204199570361</v>
      </c>
      <c r="L21" s="11">
        <f t="shared" si="7"/>
        <v>330.115920537894</v>
      </c>
      <c r="M21" s="11">
        <f t="shared" si="8"/>
        <v>286.661163008933</v>
      </c>
      <c r="N21" s="12"/>
    </row>
    <row r="22" spans="1:34">
      <c r="A22" s="10" t="s">
        <v>363</v>
      </c>
      <c r="B22" s="20">
        <v>546.4</v>
      </c>
      <c r="C22" s="11">
        <v>4.0492</v>
      </c>
      <c r="D22" s="11">
        <v>0.0626</v>
      </c>
      <c r="E22" s="11">
        <v>2.7724</v>
      </c>
      <c r="F22" s="11">
        <v>0.0597</v>
      </c>
      <c r="G22" s="20">
        <f t="shared" si="11"/>
        <v>546.4</v>
      </c>
      <c r="H22" s="11">
        <f t="shared" si="15"/>
        <v>5.63180616573672</v>
      </c>
      <c r="I22" s="11">
        <f t="shared" si="12"/>
        <v>0.0154598439197866</v>
      </c>
      <c r="J22" s="11">
        <f t="shared" si="13"/>
        <v>5.48129767479334</v>
      </c>
      <c r="K22" s="11">
        <f t="shared" si="14"/>
        <v>0.0215336892223344</v>
      </c>
      <c r="L22" s="11">
        <f t="shared" si="7"/>
        <v>279.803526142809</v>
      </c>
      <c r="M22" s="11">
        <f t="shared" si="8"/>
        <v>240.458506043982</v>
      </c>
      <c r="N22" s="12"/>
    </row>
    <row r="23" spans="1:34">
      <c r="A23" s="10" t="s">
        <v>364</v>
      </c>
      <c r="B23" s="20">
        <v>571.3</v>
      </c>
      <c r="C23" s="11">
        <v>3.4337</v>
      </c>
      <c r="D23" s="11">
        <v>0.053</v>
      </c>
      <c r="E23" s="11">
        <v>2.4624</v>
      </c>
      <c r="F23" s="11">
        <v>0.0514</v>
      </c>
      <c r="G23" s="20">
        <f t="shared" si="11"/>
        <v>571.3</v>
      </c>
      <c r="H23" s="11">
        <f t="shared" si="15"/>
        <v>5.46692523197595</v>
      </c>
      <c r="I23" s="11">
        <f t="shared" si="12"/>
        <v>0.0154352447796837</v>
      </c>
      <c r="J23" s="11">
        <f t="shared" si="13"/>
        <v>5.36272078783412</v>
      </c>
      <c r="K23" s="11">
        <f t="shared" si="14"/>
        <v>0.0208739441195582</v>
      </c>
      <c r="L23" s="11">
        <f t="shared" si="7"/>
        <v>237.271897588798</v>
      </c>
      <c r="M23" s="11">
        <f t="shared" si="8"/>
        <v>213.571283105866</v>
      </c>
      <c r="N23" s="12"/>
    </row>
    <row r="24" spans="1:34">
      <c r="A24" s="10" t="s">
        <v>365</v>
      </c>
      <c r="B24" s="20">
        <v>594.6</v>
      </c>
      <c r="C24" s="11">
        <v>2.9899</v>
      </c>
      <c r="D24" s="11">
        <v>0.047</v>
      </c>
      <c r="E24" s="11">
        <v>1.9739</v>
      </c>
      <c r="F24" s="11">
        <v>0.0453</v>
      </c>
      <c r="G24" s="20">
        <f t="shared" si="11"/>
        <v>594.6</v>
      </c>
      <c r="H24" s="11">
        <f t="shared" si="15"/>
        <v>5.32852677702151</v>
      </c>
      <c r="I24" s="11">
        <f t="shared" si="12"/>
        <v>0.0157195892839225</v>
      </c>
      <c r="J24" s="11">
        <f t="shared" si="13"/>
        <v>5.14159558489845</v>
      </c>
      <c r="K24" s="11">
        <f t="shared" si="14"/>
        <v>0.0229494908556664</v>
      </c>
      <c r="L24" s="11">
        <f t="shared" si="7"/>
        <v>206.604900428327</v>
      </c>
      <c r="M24" s="11">
        <f t="shared" si="8"/>
        <v>171.202223734027</v>
      </c>
      <c r="N24" s="13" t="s">
        <v>366</v>
      </c>
      <c r="O24" s="22">
        <v>598.3</v>
      </c>
      <c r="P24" s="7">
        <v>30.3295</v>
      </c>
      <c r="Q24" s="7">
        <v>0.3876</v>
      </c>
      <c r="R24" s="7">
        <v>26.2947</v>
      </c>
      <c r="S24" s="7">
        <v>0.3746</v>
      </c>
      <c r="T24" s="22">
        <f>O24</f>
        <v>598.3</v>
      </c>
      <c r="U24" s="7">
        <f>LN(P24)+$AF$49+$AF$42</f>
        <v>5.29966831165629</v>
      </c>
      <c r="V24" s="7">
        <f t="shared" ref="V15:V46" si="16">Q24/P24</f>
        <v>0.0127796369870918</v>
      </c>
      <c r="W24" s="7">
        <f>LN(R24)+$AH$49+$AH$42</f>
        <v>5.15074891958715</v>
      </c>
      <c r="X24" s="7">
        <f t="shared" ref="X15:X46" si="17">S24/R24</f>
        <v>0.0142462169182383</v>
      </c>
      <c r="Y24" s="7">
        <f t="shared" ref="Y24:Y42" si="18">P24*$AB$42*$AB$49</f>
        <v>200.625685917636</v>
      </c>
      <c r="Z24" s="7">
        <f t="shared" ref="Z24:Z42" si="19">R24*$AD$42*$AD$49</f>
        <v>172.764704240767</v>
      </c>
      <c r="AA24">
        <f t="shared" ref="AA24:AA29" si="20">P24/C24</f>
        <v>10.1439847486538</v>
      </c>
      <c r="AC24">
        <f t="shared" ref="AC24:AC29" si="21">R24/E24</f>
        <v>13.3211915497239</v>
      </c>
      <c r="AE24">
        <f t="shared" ref="AE24:AE29" si="22">LN(P24)-LN(C24)</f>
        <v>2.3168808942093</v>
      </c>
      <c r="AG24">
        <f t="shared" ref="AG24:AG29" si="23">LN(R24)-LN(E24)</f>
        <v>2.5893561167963</v>
      </c>
    </row>
    <row r="25" spans="1:34">
      <c r="A25" s="10" t="s">
        <v>367</v>
      </c>
      <c r="B25" s="20">
        <v>620.9</v>
      </c>
      <c r="C25" s="11">
        <v>2.54</v>
      </c>
      <c r="D25" s="11">
        <v>0.0433</v>
      </c>
      <c r="E25" s="11">
        <v>1.7432</v>
      </c>
      <c r="F25" s="11">
        <v>0.0428</v>
      </c>
      <c r="G25" s="20">
        <f t="shared" si="11"/>
        <v>620.9</v>
      </c>
      <c r="H25" s="11">
        <f t="shared" si="15"/>
        <v>5.16545091602471</v>
      </c>
      <c r="I25" s="11">
        <f t="shared" si="12"/>
        <v>0.0170472440944882</v>
      </c>
      <c r="J25" s="11">
        <f t="shared" si="13"/>
        <v>5.01730680837992</v>
      </c>
      <c r="K25" s="11">
        <f t="shared" si="14"/>
        <v>0.0245525470399266</v>
      </c>
      <c r="L25" s="11">
        <f t="shared" si="7"/>
        <v>175.516387534015</v>
      </c>
      <c r="M25" s="11">
        <f t="shared" si="8"/>
        <v>151.192925889435</v>
      </c>
      <c r="N25" s="13" t="s">
        <v>368</v>
      </c>
      <c r="O25" s="22">
        <v>619.2</v>
      </c>
      <c r="P25" s="7">
        <v>26.7741</v>
      </c>
      <c r="Q25" s="7">
        <v>0.3019</v>
      </c>
      <c r="R25" s="7">
        <v>23.3924</v>
      </c>
      <c r="S25" s="7">
        <v>0.2922</v>
      </c>
      <c r="T25" s="22">
        <f t="shared" ref="T25:T42" si="24">O25</f>
        <v>619.2</v>
      </c>
      <c r="U25" s="7">
        <f t="shared" ref="U25:U42" si="25">LN(P25)+$AF$49+$AF$42</f>
        <v>5.17498247774323</v>
      </c>
      <c r="V25" s="7">
        <f t="shared" si="16"/>
        <v>0.0112758225299823</v>
      </c>
      <c r="W25" s="7">
        <f t="shared" ref="W25:W42" si="26">LN(R25)+$AH$49+$AH$42</f>
        <v>5.03379270490841</v>
      </c>
      <c r="X25" s="7">
        <f t="shared" si="17"/>
        <v>0.0124912364699646</v>
      </c>
      <c r="Y25" s="7">
        <f t="shared" si="18"/>
        <v>177.107178731182</v>
      </c>
      <c r="Z25" s="7">
        <f t="shared" si="19"/>
        <v>153.695652260026</v>
      </c>
      <c r="AA25">
        <f t="shared" si="20"/>
        <v>10.5409842519685</v>
      </c>
      <c r="AC25">
        <f t="shared" si="21"/>
        <v>13.4192290041303</v>
      </c>
      <c r="AE25">
        <f t="shared" si="22"/>
        <v>2.35527092129304</v>
      </c>
      <c r="AG25">
        <f t="shared" si="23"/>
        <v>2.59668867863609</v>
      </c>
    </row>
    <row r="26" spans="1:34">
      <c r="A26" s="10" t="s">
        <v>369</v>
      </c>
      <c r="B26" s="20">
        <v>647.5</v>
      </c>
      <c r="C26" s="11">
        <v>2.0677</v>
      </c>
      <c r="D26" s="11">
        <v>0.0392</v>
      </c>
      <c r="E26" s="11">
        <v>1.5085</v>
      </c>
      <c r="F26" s="11">
        <v>0.0393</v>
      </c>
      <c r="G26" s="20">
        <f t="shared" si="11"/>
        <v>647.5</v>
      </c>
      <c r="H26" s="11">
        <f t="shared" si="15"/>
        <v>4.95972371341885</v>
      </c>
      <c r="I26" s="11">
        <f t="shared" si="12"/>
        <v>0.0189582628040818</v>
      </c>
      <c r="J26" s="11">
        <f t="shared" si="13"/>
        <v>4.87270008334863</v>
      </c>
      <c r="K26" s="11">
        <f t="shared" si="14"/>
        <v>0.026052369903878</v>
      </c>
      <c r="L26" s="11">
        <f t="shared" si="7"/>
        <v>142.880013584285</v>
      </c>
      <c r="M26" s="11">
        <f t="shared" si="8"/>
        <v>130.836696135964</v>
      </c>
      <c r="N26" s="13" t="s">
        <v>370</v>
      </c>
      <c r="O26" s="22">
        <v>645.2</v>
      </c>
      <c r="P26" s="7">
        <v>21.8042</v>
      </c>
      <c r="Q26" s="7">
        <v>0.2327</v>
      </c>
      <c r="R26" s="7">
        <v>19.8295</v>
      </c>
      <c r="S26" s="7">
        <v>0.2293</v>
      </c>
      <c r="T26" s="22">
        <f t="shared" si="24"/>
        <v>645.2</v>
      </c>
      <c r="U26" s="7">
        <f t="shared" si="25"/>
        <v>4.96965008720858</v>
      </c>
      <c r="V26" s="7">
        <f t="shared" si="16"/>
        <v>0.0106722558039277</v>
      </c>
      <c r="W26" s="7">
        <f t="shared" si="26"/>
        <v>4.86855224951612</v>
      </c>
      <c r="X26" s="7">
        <f t="shared" si="17"/>
        <v>0.0115635795153685</v>
      </c>
      <c r="Y26" s="7">
        <f t="shared" si="18"/>
        <v>144.231938570874</v>
      </c>
      <c r="Z26" s="7">
        <f t="shared" si="19"/>
        <v>130.286244100229</v>
      </c>
      <c r="AA26">
        <f t="shared" si="20"/>
        <v>10.545146781448</v>
      </c>
      <c r="AC26">
        <f t="shared" si="21"/>
        <v>13.145177328472</v>
      </c>
      <c r="AE26">
        <f t="shared" si="22"/>
        <v>2.35566573336425</v>
      </c>
      <c r="AG26">
        <f t="shared" si="23"/>
        <v>2.5760549482751</v>
      </c>
    </row>
    <row r="27" spans="1:34">
      <c r="A27" s="10" t="s">
        <v>371</v>
      </c>
      <c r="B27" s="20">
        <v>669.5</v>
      </c>
      <c r="C27" s="11">
        <v>1.7842</v>
      </c>
      <c r="D27" s="11">
        <v>0.0278</v>
      </c>
      <c r="E27" s="11">
        <v>1.309</v>
      </c>
      <c r="F27" s="11">
        <v>0.0278</v>
      </c>
      <c r="G27" s="20">
        <f t="shared" si="11"/>
        <v>669.5</v>
      </c>
      <c r="H27" s="11">
        <f t="shared" si="15"/>
        <v>4.81225697049181</v>
      </c>
      <c r="I27" s="11">
        <f t="shared" si="12"/>
        <v>0.0155812128685125</v>
      </c>
      <c r="J27" s="11">
        <f t="shared" si="13"/>
        <v>4.73084779065941</v>
      </c>
      <c r="K27" s="11">
        <f t="shared" si="14"/>
        <v>0.0212375859434683</v>
      </c>
      <c r="L27" s="11">
        <f t="shared" si="7"/>
        <v>123.28989710165</v>
      </c>
      <c r="M27" s="11">
        <f t="shared" si="8"/>
        <v>113.533467180628</v>
      </c>
      <c r="N27" s="13" t="s">
        <v>371</v>
      </c>
      <c r="O27" s="22">
        <v>666.6</v>
      </c>
      <c r="P27" s="7">
        <v>18.4</v>
      </c>
      <c r="Q27" s="7">
        <v>0.2154</v>
      </c>
      <c r="R27" s="7">
        <v>16.9244</v>
      </c>
      <c r="S27" s="7">
        <v>0.2154</v>
      </c>
      <c r="T27" s="22">
        <f t="shared" si="24"/>
        <v>666.6</v>
      </c>
      <c r="U27" s="7">
        <f t="shared" si="25"/>
        <v>4.79989814003468</v>
      </c>
      <c r="V27" s="7">
        <f t="shared" si="16"/>
        <v>0.0117065217391304</v>
      </c>
      <c r="W27" s="7">
        <f t="shared" si="26"/>
        <v>4.71013788927701</v>
      </c>
      <c r="X27" s="7">
        <f t="shared" si="17"/>
        <v>0.0127271867835787</v>
      </c>
      <c r="Y27" s="7">
        <f t="shared" si="18"/>
        <v>121.713599659886</v>
      </c>
      <c r="Z27" s="7">
        <f t="shared" si="19"/>
        <v>111.198795211675</v>
      </c>
      <c r="AA27">
        <f t="shared" si="20"/>
        <v>10.3127452079363</v>
      </c>
      <c r="AC27">
        <f t="shared" si="21"/>
        <v>12.9292589763178</v>
      </c>
      <c r="AE27">
        <f t="shared" si="22"/>
        <v>2.33338052911739</v>
      </c>
      <c r="AG27">
        <f t="shared" si="23"/>
        <v>2.5594928807252</v>
      </c>
    </row>
    <row r="28" spans="1:34">
      <c r="A28" s="10" t="s">
        <v>372</v>
      </c>
      <c r="B28" s="20">
        <v>690.8</v>
      </c>
      <c r="C28" s="11">
        <v>1.4321</v>
      </c>
      <c r="D28" s="11">
        <v>0.0334</v>
      </c>
      <c r="E28" s="11">
        <v>1.1077</v>
      </c>
      <c r="F28" s="11">
        <v>0.0349</v>
      </c>
      <c r="G28" s="20">
        <f t="shared" si="11"/>
        <v>690.8</v>
      </c>
      <c r="H28" s="11">
        <f t="shared" si="15"/>
        <v>4.59242873349678</v>
      </c>
      <c r="I28" s="11">
        <f t="shared" si="12"/>
        <v>0.0233223936875917</v>
      </c>
      <c r="J28" s="11">
        <f t="shared" si="13"/>
        <v>4.5638700972724</v>
      </c>
      <c r="K28" s="11">
        <f t="shared" si="14"/>
        <v>0.0315067256477386</v>
      </c>
      <c r="L28" s="11">
        <f t="shared" si="7"/>
        <v>98.9594561367965</v>
      </c>
      <c r="M28" s="11">
        <f t="shared" si="8"/>
        <v>96.074118866296</v>
      </c>
      <c r="N28" s="13" t="s">
        <v>373</v>
      </c>
      <c r="O28" s="22">
        <v>693.3</v>
      </c>
      <c r="P28" s="7">
        <v>15.863</v>
      </c>
      <c r="Q28" s="7">
        <v>0.1758</v>
      </c>
      <c r="R28" s="7">
        <v>14.5722</v>
      </c>
      <c r="S28" s="7">
        <v>0.1754</v>
      </c>
      <c r="T28" s="22">
        <f t="shared" si="24"/>
        <v>693.3</v>
      </c>
      <c r="U28" s="7">
        <f t="shared" si="25"/>
        <v>4.65153682884606</v>
      </c>
      <c r="V28" s="7">
        <f t="shared" si="16"/>
        <v>0.0110823929899767</v>
      </c>
      <c r="W28" s="7">
        <f t="shared" si="26"/>
        <v>4.56049712562814</v>
      </c>
      <c r="X28" s="7">
        <f t="shared" si="17"/>
        <v>0.0120366176692606</v>
      </c>
      <c r="Y28" s="7">
        <f t="shared" si="18"/>
        <v>104.931675619824</v>
      </c>
      <c r="Z28" s="7">
        <f t="shared" si="19"/>
        <v>95.7440785837944</v>
      </c>
      <c r="AA28">
        <f t="shared" si="20"/>
        <v>11.0767404510858</v>
      </c>
      <c r="AC28">
        <f t="shared" si="21"/>
        <v>13.1553669766182</v>
      </c>
      <c r="AE28">
        <f t="shared" si="22"/>
        <v>2.4048474549238</v>
      </c>
      <c r="AG28">
        <f t="shared" si="23"/>
        <v>2.57682981046334</v>
      </c>
    </row>
    <row r="29" spans="1:34">
      <c r="A29" s="10" t="s">
        <v>374</v>
      </c>
      <c r="B29" s="20">
        <v>716.7</v>
      </c>
      <c r="C29" s="11">
        <v>1.374</v>
      </c>
      <c r="D29" s="11">
        <v>0.0324</v>
      </c>
      <c r="E29" s="11">
        <v>0.91</v>
      </c>
      <c r="F29" s="11">
        <v>0.0321</v>
      </c>
      <c r="G29" s="20">
        <f t="shared" si="11"/>
        <v>716.7</v>
      </c>
      <c r="H29" s="11">
        <f t="shared" si="15"/>
        <v>4.55101302879442</v>
      </c>
      <c r="I29" s="11">
        <f t="shared" si="12"/>
        <v>0.0235807860262009</v>
      </c>
      <c r="J29" s="11">
        <f t="shared" si="13"/>
        <v>4.36727362426041</v>
      </c>
      <c r="K29" s="11">
        <f t="shared" si="14"/>
        <v>0.0352747252747253</v>
      </c>
      <c r="L29" s="11">
        <f t="shared" si="7"/>
        <v>94.9446915243058</v>
      </c>
      <c r="M29" s="11">
        <f t="shared" si="8"/>
        <v>78.9270092699552</v>
      </c>
      <c r="N29" s="13" t="s">
        <v>375</v>
      </c>
      <c r="O29" s="22">
        <v>714.2</v>
      </c>
      <c r="P29" s="7">
        <v>13.82</v>
      </c>
      <c r="Q29" s="7">
        <v>0.1997</v>
      </c>
      <c r="R29" s="7">
        <v>12.043</v>
      </c>
      <c r="S29" s="7">
        <v>0.1986</v>
      </c>
      <c r="T29" s="22">
        <f t="shared" si="24"/>
        <v>714.2</v>
      </c>
      <c r="U29" s="7">
        <f t="shared" si="25"/>
        <v>4.51366429375926</v>
      </c>
      <c r="V29" s="7">
        <f t="shared" si="16"/>
        <v>0.0144500723589001</v>
      </c>
      <c r="W29" s="7">
        <f t="shared" si="26"/>
        <v>4.36986509990238</v>
      </c>
      <c r="X29" s="7">
        <f t="shared" si="17"/>
        <v>0.0164909075811675</v>
      </c>
      <c r="Y29" s="7">
        <f t="shared" si="18"/>
        <v>91.4174971358488</v>
      </c>
      <c r="Z29" s="7">
        <f t="shared" si="19"/>
        <v>79.1264145691547</v>
      </c>
      <c r="AA29">
        <f t="shared" si="20"/>
        <v>10.0582241630277</v>
      </c>
      <c r="AB29">
        <f>AVERAGE(AA24:AA29)</f>
        <v>10.4463042673533</v>
      </c>
      <c r="AC29">
        <f t="shared" si="21"/>
        <v>13.2340659340659</v>
      </c>
      <c r="AD29">
        <f>AVERAGE(AC24:AC29)</f>
        <v>13.2007149615547</v>
      </c>
      <c r="AE29">
        <f t="shared" si="22"/>
        <v>2.30839062453937</v>
      </c>
      <c r="AF29">
        <f>AVERAGE(AE24:AE29)</f>
        <v>2.34573935957453</v>
      </c>
      <c r="AG29">
        <f t="shared" si="23"/>
        <v>2.58279425774958</v>
      </c>
      <c r="AH29">
        <f>AVERAGE(AG24:AG29)</f>
        <v>2.58020278210761</v>
      </c>
    </row>
    <row r="30" spans="1:34">
      <c r="N30" s="13" t="s">
        <v>376</v>
      </c>
      <c r="O30" s="22">
        <v>740.4</v>
      </c>
      <c r="P30" s="7">
        <v>11.3293</v>
      </c>
      <c r="Q30" s="7">
        <v>0.1699</v>
      </c>
      <c r="R30" s="7">
        <v>10.6485</v>
      </c>
      <c r="S30" s="7">
        <v>0.1726</v>
      </c>
      <c r="T30" s="22">
        <f t="shared" si="24"/>
        <v>740.4</v>
      </c>
      <c r="U30" s="7">
        <f t="shared" si="25"/>
        <v>4.3149397656737</v>
      </c>
      <c r="V30" s="7">
        <f t="shared" si="16"/>
        <v>0.0149965134650861</v>
      </c>
      <c r="W30" s="7">
        <f t="shared" si="26"/>
        <v>4.24680055878945</v>
      </c>
      <c r="X30" s="7">
        <f t="shared" si="17"/>
        <v>0.0162088557073766</v>
      </c>
      <c r="Y30" s="7">
        <f t="shared" si="18"/>
        <v>74.9418415558011</v>
      </c>
      <c r="Z30" s="7">
        <f t="shared" si="19"/>
        <v>69.9640974457896</v>
      </c>
    </row>
    <row r="31" spans="1:34">
      <c r="N31" s="13" t="s">
        <v>377</v>
      </c>
      <c r="O31" s="22">
        <v>762.5</v>
      </c>
      <c r="P31" s="7">
        <v>9.7385</v>
      </c>
      <c r="Q31" s="7">
        <v>0.1476</v>
      </c>
      <c r="R31" s="7">
        <v>9.0376</v>
      </c>
      <c r="S31" s="7">
        <v>0.1507</v>
      </c>
      <c r="T31" s="22">
        <f t="shared" si="24"/>
        <v>762.5</v>
      </c>
      <c r="U31" s="7">
        <f t="shared" si="25"/>
        <v>4.16363457710756</v>
      </c>
      <c r="V31" s="7">
        <f t="shared" si="16"/>
        <v>0.0151563382451096</v>
      </c>
      <c r="W31" s="7">
        <f t="shared" si="26"/>
        <v>4.08277517405462</v>
      </c>
      <c r="X31" s="7">
        <f t="shared" si="17"/>
        <v>0.0166747809152872</v>
      </c>
      <c r="Y31" s="7">
        <f t="shared" si="18"/>
        <v>64.4189070808584</v>
      </c>
      <c r="Z31" s="7">
        <f t="shared" si="19"/>
        <v>59.3799621614376</v>
      </c>
    </row>
    <row r="32" spans="1:34">
      <c r="N32" s="13" t="s">
        <v>378</v>
      </c>
      <c r="O32" s="22">
        <v>786.4</v>
      </c>
      <c r="P32" s="7">
        <v>8.2508</v>
      </c>
      <c r="Q32" s="7">
        <v>0.1325</v>
      </c>
      <c r="R32" s="7">
        <v>7.776</v>
      </c>
      <c r="S32" s="7">
        <v>0.1365</v>
      </c>
      <c r="T32" s="22">
        <f t="shared" si="24"/>
        <v>786.4</v>
      </c>
      <c r="U32" s="7">
        <f t="shared" si="25"/>
        <v>3.99785764076204</v>
      </c>
      <c r="V32" s="7">
        <f t="shared" si="16"/>
        <v>0.0160590488195084</v>
      </c>
      <c r="W32" s="7">
        <f t="shared" si="26"/>
        <v>3.93242358878218</v>
      </c>
      <c r="X32" s="7">
        <f t="shared" si="17"/>
        <v>0.017554012345679</v>
      </c>
      <c r="Y32" s="7">
        <f t="shared" si="18"/>
        <v>54.5779656561839</v>
      </c>
      <c r="Z32" s="7">
        <f t="shared" si="19"/>
        <v>51.0908411267746</v>
      </c>
    </row>
    <row r="33" spans="1:34">
      <c r="N33" s="13" t="s">
        <v>379</v>
      </c>
      <c r="O33" s="22">
        <v>811</v>
      </c>
      <c r="P33" s="7">
        <v>7.2489</v>
      </c>
      <c r="Q33" s="7">
        <v>0.1209</v>
      </c>
      <c r="R33" s="7">
        <v>6.9282</v>
      </c>
      <c r="S33" s="7">
        <v>0.1256</v>
      </c>
      <c r="T33" s="22">
        <f t="shared" si="24"/>
        <v>811</v>
      </c>
      <c r="U33" s="7">
        <f t="shared" si="25"/>
        <v>3.86839720863712</v>
      </c>
      <c r="V33" s="7">
        <f t="shared" si="16"/>
        <v>0.0166783925837024</v>
      </c>
      <c r="W33" s="7">
        <f t="shared" si="26"/>
        <v>3.81698156082777</v>
      </c>
      <c r="X33" s="7">
        <f t="shared" si="17"/>
        <v>0.0181288069051124</v>
      </c>
      <c r="Y33" s="7">
        <f t="shared" si="18"/>
        <v>47.9505278573122</v>
      </c>
      <c r="Z33" s="7">
        <f t="shared" si="19"/>
        <v>45.5205202539249</v>
      </c>
    </row>
    <row r="34" spans="1:34">
      <c r="N34" s="13" t="s">
        <v>380</v>
      </c>
      <c r="O34" s="22">
        <v>834.2</v>
      </c>
      <c r="P34" s="7">
        <v>6.553</v>
      </c>
      <c r="Q34" s="7">
        <v>0.1199</v>
      </c>
      <c r="R34" s="7">
        <v>5.7106</v>
      </c>
      <c r="S34" s="7">
        <v>0.1214</v>
      </c>
      <c r="T34" s="22">
        <f t="shared" si="24"/>
        <v>834.2</v>
      </c>
      <c r="U34" s="7">
        <f t="shared" si="25"/>
        <v>3.7674704354771</v>
      </c>
      <c r="V34" s="7">
        <f t="shared" si="16"/>
        <v>0.0182969632229513</v>
      </c>
      <c r="W34" s="7">
        <f t="shared" si="26"/>
        <v>3.62370561858068</v>
      </c>
      <c r="X34" s="7">
        <f t="shared" si="17"/>
        <v>0.0212587118691556</v>
      </c>
      <c r="Y34" s="7">
        <f t="shared" si="18"/>
        <v>43.3472401397408</v>
      </c>
      <c r="Z34" s="7">
        <f t="shared" si="19"/>
        <v>37.520493484897</v>
      </c>
    </row>
    <row r="35" spans="1:34">
      <c r="N35" s="13" t="s">
        <v>381</v>
      </c>
      <c r="O35" s="22">
        <v>858.4</v>
      </c>
      <c r="P35" s="7">
        <v>5.6075</v>
      </c>
      <c r="Q35" s="7">
        <v>0.107</v>
      </c>
      <c r="R35" s="7">
        <v>4.8426</v>
      </c>
      <c r="S35" s="7">
        <v>0.1072</v>
      </c>
      <c r="T35" s="22">
        <f t="shared" si="24"/>
        <v>858.4</v>
      </c>
      <c r="U35" s="7">
        <f t="shared" si="25"/>
        <v>3.61165246283196</v>
      </c>
      <c r="V35" s="7">
        <f t="shared" si="16"/>
        <v>0.0190815871600535</v>
      </c>
      <c r="W35" s="7">
        <f t="shared" si="26"/>
        <v>3.45883328820029</v>
      </c>
      <c r="X35" s="7">
        <f t="shared" si="17"/>
        <v>0.0221368686242927</v>
      </c>
      <c r="Y35" s="7">
        <f t="shared" si="18"/>
        <v>37.0928809833048</v>
      </c>
      <c r="Z35" s="7">
        <f t="shared" si="19"/>
        <v>31.8174520628239</v>
      </c>
    </row>
    <row r="36" spans="1:34">
      <c r="N36" s="13" t="s">
        <v>382</v>
      </c>
      <c r="O36" s="22">
        <v>884.2</v>
      </c>
      <c r="P36" s="7">
        <v>4.418</v>
      </c>
      <c r="Q36" s="7">
        <v>0.0946</v>
      </c>
      <c r="R36" s="7">
        <v>4.2218</v>
      </c>
      <c r="S36" s="7">
        <v>0.0991</v>
      </c>
      <c r="T36" s="22">
        <f t="shared" si="24"/>
        <v>884.2</v>
      </c>
      <c r="U36" s="7">
        <f t="shared" si="25"/>
        <v>3.37323458041766</v>
      </c>
      <c r="V36" s="7">
        <f t="shared" si="16"/>
        <v>0.0214124038026256</v>
      </c>
      <c r="W36" s="7">
        <f t="shared" si="26"/>
        <v>3.32164309901387</v>
      </c>
      <c r="X36" s="7">
        <f t="shared" si="17"/>
        <v>0.0234733999715761</v>
      </c>
      <c r="Y36" s="7">
        <f t="shared" si="18"/>
        <v>29.224493657466</v>
      </c>
      <c r="Z36" s="7">
        <f t="shared" si="19"/>
        <v>27.7385947876822</v>
      </c>
    </row>
    <row r="37" spans="1:34">
      <c r="N37" s="13" t="s">
        <v>383</v>
      </c>
      <c r="O37" s="22">
        <v>910.3</v>
      </c>
      <c r="P37" s="7">
        <v>3.7619</v>
      </c>
      <c r="Q37" s="7">
        <v>0.0727</v>
      </c>
      <c r="R37" s="7">
        <v>3.508</v>
      </c>
      <c r="S37" s="7">
        <v>0.0764</v>
      </c>
      <c r="T37" s="22">
        <f t="shared" si="24"/>
        <v>910.3</v>
      </c>
      <c r="U37" s="7">
        <f t="shared" si="25"/>
        <v>3.21247162433975</v>
      </c>
      <c r="V37" s="7">
        <f t="shared" si="16"/>
        <v>0.0193253409181531</v>
      </c>
      <c r="W37" s="7">
        <f t="shared" si="26"/>
        <v>3.13642759613398</v>
      </c>
      <c r="X37" s="7">
        <f t="shared" si="17"/>
        <v>0.0217787913340935</v>
      </c>
      <c r="Y37" s="7">
        <f t="shared" si="18"/>
        <v>24.8844777478545</v>
      </c>
      <c r="Z37" s="7">
        <f t="shared" si="19"/>
        <v>23.0486973601756</v>
      </c>
    </row>
    <row r="38" spans="1:34">
      <c r="N38" s="13" t="s">
        <v>384</v>
      </c>
      <c r="O38" s="22">
        <v>930.5</v>
      </c>
      <c r="P38" s="7">
        <v>3.2428</v>
      </c>
      <c r="Q38" s="7">
        <v>0.0677</v>
      </c>
      <c r="R38" s="7">
        <v>3.1552</v>
      </c>
      <c r="S38" s="7">
        <v>0.0724</v>
      </c>
      <c r="T38" s="22">
        <f t="shared" si="24"/>
        <v>930.5</v>
      </c>
      <c r="U38" s="7">
        <f t="shared" si="25"/>
        <v>3.06398462955115</v>
      </c>
      <c r="V38" s="7">
        <f t="shared" si="16"/>
        <v>0.0208770198593808</v>
      </c>
      <c r="W38" s="7">
        <f t="shared" si="26"/>
        <v>3.03043340705022</v>
      </c>
      <c r="X38" s="7">
        <f t="shared" si="17"/>
        <v>0.022946247464503</v>
      </c>
      <c r="Y38" s="7">
        <f t="shared" si="18"/>
        <v>21.4506989661455</v>
      </c>
      <c r="Z38" s="7">
        <f t="shared" si="19"/>
        <v>20.7306869757201</v>
      </c>
    </row>
    <row r="39" spans="1:34">
      <c r="A39" s="14" t="s">
        <v>385</v>
      </c>
      <c r="B39" s="23">
        <v>955.9</v>
      </c>
      <c r="C39" s="8">
        <v>8.2388</v>
      </c>
      <c r="D39" s="8">
        <v>0.1603</v>
      </c>
      <c r="E39" s="8">
        <v>8.2689</v>
      </c>
      <c r="F39" s="8">
        <v>0.174</v>
      </c>
      <c r="G39" s="23">
        <f>B39</f>
        <v>955.9</v>
      </c>
      <c r="H39" s="8">
        <f>LN(C39)+$AF$49</f>
        <v>2.92232766424053</v>
      </c>
      <c r="I39" s="8">
        <f t="shared" ref="I30:I49" si="27">D39/C39</f>
        <v>0.019456716997621</v>
      </c>
      <c r="J39" s="8">
        <f>LN(E39)+$AH$49</f>
        <v>2.89526072427858</v>
      </c>
      <c r="K39" s="8">
        <f t="shared" ref="K30:K49" si="28">F39/E39</f>
        <v>0.0210427021732032</v>
      </c>
      <c r="L39" s="8">
        <f t="shared" ref="L39:L49" si="29">C39*$AB$49</f>
        <v>18.6065758661973</v>
      </c>
      <c r="M39" s="8">
        <f t="shared" ref="M39:M49" si="30">E39*$AD$49</f>
        <v>18.1034972230811</v>
      </c>
      <c r="N39" s="13" t="s">
        <v>386</v>
      </c>
      <c r="O39" s="22">
        <v>954.6</v>
      </c>
      <c r="P39" s="7">
        <v>2.9527</v>
      </c>
      <c r="Q39" s="7">
        <v>0.0628</v>
      </c>
      <c r="R39" s="7">
        <v>2.6833</v>
      </c>
      <c r="S39" s="7">
        <v>0.0664</v>
      </c>
      <c r="T39" s="22">
        <f t="shared" si="24"/>
        <v>954.6</v>
      </c>
      <c r="U39" s="7">
        <f t="shared" si="25"/>
        <v>2.97026748141899</v>
      </c>
      <c r="V39" s="7">
        <f t="shared" si="16"/>
        <v>0.0212686693534731</v>
      </c>
      <c r="W39" s="7">
        <f t="shared" si="26"/>
        <v>2.868428901949</v>
      </c>
      <c r="X39" s="7">
        <f t="shared" si="17"/>
        <v>0.0247456490142735</v>
      </c>
      <c r="Y39" s="7">
        <f t="shared" si="18"/>
        <v>19.5317253106383</v>
      </c>
      <c r="Z39" s="7">
        <f t="shared" si="19"/>
        <v>17.6301509767843</v>
      </c>
      <c r="AA39">
        <f t="shared" ref="AA39:AA42" si="31">C39/P39</f>
        <v>2.7902597622515</v>
      </c>
      <c r="AC39">
        <f t="shared" ref="AC39:AC42" si="32">E39/R39</f>
        <v>3.08161592069467</v>
      </c>
      <c r="AE39">
        <f>LN(C39)-LN(P39)</f>
        <v>1.02613469624894</v>
      </c>
      <c r="AG39">
        <f>LN(E39)-LN(R39)</f>
        <v>1.1254541089812</v>
      </c>
    </row>
    <row r="40" spans="1:34">
      <c r="A40" s="14" t="s">
        <v>387</v>
      </c>
      <c r="B40" s="23">
        <v>978.5</v>
      </c>
      <c r="C40" s="8">
        <v>7.4684</v>
      </c>
      <c r="D40" s="8">
        <v>0.147</v>
      </c>
      <c r="E40" s="8">
        <v>6.6622</v>
      </c>
      <c r="F40" s="8">
        <v>0.1527</v>
      </c>
      <c r="G40" s="23">
        <f t="shared" ref="G40:G49" si="33">B40</f>
        <v>978.5</v>
      </c>
      <c r="H40" s="8">
        <f t="shared" ref="H40:H49" si="34">LN(C40)+$AF$49</f>
        <v>2.82415374810139</v>
      </c>
      <c r="I40" s="8">
        <f t="shared" si="27"/>
        <v>0.0196829307482192</v>
      </c>
      <c r="J40" s="8">
        <f t="shared" ref="J40:J49" si="35">LN(E40)+$AH$49</f>
        <v>2.679208995308</v>
      </c>
      <c r="K40" s="8">
        <f t="shared" si="28"/>
        <v>0.0229203566389481</v>
      </c>
      <c r="L40" s="8">
        <f t="shared" si="29"/>
        <v>16.8666979656149</v>
      </c>
      <c r="M40" s="8">
        <f t="shared" si="30"/>
        <v>14.5858722683321</v>
      </c>
      <c r="N40" s="13" t="s">
        <v>388</v>
      </c>
      <c r="O40" s="22">
        <v>980.4</v>
      </c>
      <c r="P40" s="7">
        <v>2.4731</v>
      </c>
      <c r="Q40" s="7">
        <v>0.0522</v>
      </c>
      <c r="R40" s="7">
        <v>2.1991</v>
      </c>
      <c r="S40" s="7">
        <v>0.0553</v>
      </c>
      <c r="T40" s="22">
        <f t="shared" si="24"/>
        <v>980.4</v>
      </c>
      <c r="U40" s="7">
        <f t="shared" si="25"/>
        <v>2.79301989985801</v>
      </c>
      <c r="V40" s="7">
        <f t="shared" si="16"/>
        <v>0.0211071125308318</v>
      </c>
      <c r="W40" s="7">
        <f t="shared" si="26"/>
        <v>2.66942970737871</v>
      </c>
      <c r="X40" s="7">
        <f t="shared" si="17"/>
        <v>0.025146650902642</v>
      </c>
      <c r="Y40" s="7">
        <f t="shared" si="18"/>
        <v>16.3592338760252</v>
      </c>
      <c r="Z40" s="7">
        <f t="shared" si="19"/>
        <v>14.448799989955</v>
      </c>
      <c r="AA40">
        <f t="shared" si="31"/>
        <v>3.01985362500505</v>
      </c>
      <c r="AC40">
        <f t="shared" si="32"/>
        <v>3.02951207312082</v>
      </c>
      <c r="AE40">
        <f>LN(C40)-LN(P40)</f>
        <v>1.10520836167077</v>
      </c>
      <c r="AG40">
        <f>LN(E40)-LN(R40)</f>
        <v>1.10840157458091</v>
      </c>
    </row>
    <row r="41" spans="1:34">
      <c r="A41" s="14" t="s">
        <v>389</v>
      </c>
      <c r="B41" s="23">
        <v>1004.6</v>
      </c>
      <c r="C41" s="8">
        <v>6.2974</v>
      </c>
      <c r="D41" s="8">
        <v>0.138</v>
      </c>
      <c r="E41" s="8">
        <v>5.888</v>
      </c>
      <c r="F41" s="8">
        <v>0.1471</v>
      </c>
      <c r="G41" s="23">
        <f t="shared" si="33"/>
        <v>1004.6</v>
      </c>
      <c r="H41" s="8">
        <f t="shared" si="34"/>
        <v>2.6536098117937</v>
      </c>
      <c r="I41" s="8">
        <f t="shared" si="27"/>
        <v>0.0219138056975895</v>
      </c>
      <c r="J41" s="8">
        <f t="shared" si="35"/>
        <v>2.555675616399</v>
      </c>
      <c r="K41" s="8">
        <f t="shared" si="28"/>
        <v>0.0249830163043478</v>
      </c>
      <c r="L41" s="8">
        <f t="shared" si="29"/>
        <v>14.2221016239976</v>
      </c>
      <c r="M41" s="8">
        <f t="shared" si="30"/>
        <v>12.8908792765061</v>
      </c>
      <c r="N41" s="13" t="s">
        <v>390</v>
      </c>
      <c r="O41" s="22">
        <v>1002.7</v>
      </c>
      <c r="P41" s="7">
        <v>2.0798</v>
      </c>
      <c r="Q41" s="7">
        <v>0.0479</v>
      </c>
      <c r="R41" s="7">
        <v>1.9499</v>
      </c>
      <c r="S41" s="7">
        <v>0.0516</v>
      </c>
      <c r="T41" s="22">
        <f t="shared" si="24"/>
        <v>1002.7</v>
      </c>
      <c r="U41" s="7">
        <f t="shared" si="25"/>
        <v>2.61981921066373</v>
      </c>
      <c r="V41" s="7">
        <f t="shared" si="16"/>
        <v>0.0230310606789114</v>
      </c>
      <c r="W41" s="7">
        <f t="shared" si="26"/>
        <v>2.54915961083345</v>
      </c>
      <c r="X41" s="7">
        <f t="shared" si="17"/>
        <v>0.0264628955331043</v>
      </c>
      <c r="Y41" s="7">
        <f t="shared" si="18"/>
        <v>13.7576056832951</v>
      </c>
      <c r="Z41" s="7">
        <f t="shared" si="19"/>
        <v>12.8114751945856</v>
      </c>
      <c r="AA41">
        <f t="shared" si="31"/>
        <v>3.02788729685547</v>
      </c>
      <c r="AC41">
        <f t="shared" si="32"/>
        <v>3.01964203292477</v>
      </c>
      <c r="AE41">
        <f>LN(C41)-LN(P41)</f>
        <v>1.10786511455737</v>
      </c>
      <c r="AG41">
        <f>LN(E41)-LN(R41)</f>
        <v>1.10513829221717</v>
      </c>
    </row>
    <row r="42" spans="1:34">
      <c r="A42" s="14" t="s">
        <v>391</v>
      </c>
      <c r="B42" s="23">
        <v>1026.9</v>
      </c>
      <c r="C42" s="8">
        <v>5.3778</v>
      </c>
      <c r="D42" s="8">
        <v>0.1064</v>
      </c>
      <c r="E42" s="8">
        <v>4.8865</v>
      </c>
      <c r="F42" s="8">
        <v>0.1136</v>
      </c>
      <c r="G42" s="23">
        <f t="shared" si="33"/>
        <v>1026.9</v>
      </c>
      <c r="H42" s="8">
        <f t="shared" si="34"/>
        <v>2.49575233060157</v>
      </c>
      <c r="I42" s="8">
        <f t="shared" si="27"/>
        <v>0.0197850422105694</v>
      </c>
      <c r="J42" s="8">
        <f t="shared" si="35"/>
        <v>2.36923553576917</v>
      </c>
      <c r="K42" s="8">
        <f t="shared" si="28"/>
        <v>0.0232477233193492</v>
      </c>
      <c r="L42" s="8">
        <f t="shared" si="29"/>
        <v>12.1452691767291</v>
      </c>
      <c r="M42" s="8">
        <f t="shared" si="30"/>
        <v>10.6982475517404</v>
      </c>
      <c r="N42" s="13" t="s">
        <v>392</v>
      </c>
      <c r="O42" s="22">
        <v>1029</v>
      </c>
      <c r="P42" s="7">
        <v>1.8686</v>
      </c>
      <c r="Q42" s="7">
        <v>0.0457</v>
      </c>
      <c r="R42" s="7">
        <v>1.7006</v>
      </c>
      <c r="S42" s="7">
        <v>0.0491</v>
      </c>
      <c r="T42" s="22">
        <f t="shared" si="24"/>
        <v>1029</v>
      </c>
      <c r="U42" s="7">
        <f t="shared" si="25"/>
        <v>2.51273696279646</v>
      </c>
      <c r="V42" s="7">
        <f t="shared" si="16"/>
        <v>0.0244568125869635</v>
      </c>
      <c r="W42" s="7">
        <f t="shared" si="26"/>
        <v>2.4123626515936</v>
      </c>
      <c r="X42" s="7">
        <f t="shared" si="17"/>
        <v>0.0288721627660826</v>
      </c>
      <c r="Y42" s="7">
        <f t="shared" si="18"/>
        <v>12.3605452350251</v>
      </c>
      <c r="Z42" s="7">
        <f t="shared" si="19"/>
        <v>11.1734933667944</v>
      </c>
      <c r="AA42">
        <f t="shared" si="31"/>
        <v>2.8779835170716</v>
      </c>
      <c r="AB42">
        <f>AVERAGE(AA39:AA42)</f>
        <v>2.92899605029591</v>
      </c>
      <c r="AC42">
        <f t="shared" si="32"/>
        <v>2.87339762436787</v>
      </c>
      <c r="AD42">
        <f>AVERAGE(AC39:AC42)</f>
        <v>3.00104191277703</v>
      </c>
      <c r="AE42">
        <f>LN(C42)-LN(P42)</f>
        <v>1.05708988123252</v>
      </c>
      <c r="AF42">
        <f>AVERAGE(AE39:AE42)</f>
        <v>1.0740745134274</v>
      </c>
      <c r="AG42">
        <f>LN(E42)-LN(R42)</f>
        <v>1.0554951708272</v>
      </c>
      <c r="AH42">
        <f>AVERAGE(AG39:AG42)</f>
        <v>1.09862228665162</v>
      </c>
    </row>
    <row r="43" spans="1:34">
      <c r="A43" s="14" t="s">
        <v>393</v>
      </c>
      <c r="B43" s="23">
        <v>1051.2</v>
      </c>
      <c r="C43" s="8">
        <v>4.5156</v>
      </c>
      <c r="D43" s="8">
        <v>0.0879</v>
      </c>
      <c r="E43" s="8">
        <v>4.3747</v>
      </c>
      <c r="F43" s="8">
        <v>0.0963</v>
      </c>
      <c r="G43" s="23">
        <f t="shared" si="33"/>
        <v>1051.2</v>
      </c>
      <c r="H43" s="8">
        <f t="shared" si="34"/>
        <v>2.3210110303976</v>
      </c>
      <c r="I43" s="8">
        <f t="shared" si="27"/>
        <v>0.0194658517140579</v>
      </c>
      <c r="J43" s="8">
        <f t="shared" si="35"/>
        <v>2.2585971810023</v>
      </c>
      <c r="K43" s="8">
        <f t="shared" si="28"/>
        <v>0.0220129380300363</v>
      </c>
      <c r="L43" s="8">
        <f t="shared" si="29"/>
        <v>10.1980693767782</v>
      </c>
      <c r="M43" s="8">
        <f t="shared" si="30"/>
        <v>9.57773939723699</v>
      </c>
      <c r="N43" s="12"/>
    </row>
    <row r="44" spans="1:34">
      <c r="A44" s="14" t="s">
        <v>394</v>
      </c>
      <c r="B44" s="23">
        <v>1078.5</v>
      </c>
      <c r="C44" s="8">
        <v>4.0274</v>
      </c>
      <c r="D44" s="8">
        <v>0.0792</v>
      </c>
      <c r="E44" s="8">
        <v>3.6552</v>
      </c>
      <c r="F44" s="8">
        <v>0.0867</v>
      </c>
      <c r="G44" s="23">
        <f t="shared" si="33"/>
        <v>1078.5</v>
      </c>
      <c r="H44" s="8">
        <f t="shared" si="34"/>
        <v>2.20659396845451</v>
      </c>
      <c r="I44" s="8">
        <f t="shared" si="27"/>
        <v>0.0196652927446988</v>
      </c>
      <c r="J44" s="8">
        <f t="shared" si="35"/>
        <v>2.07891004623934</v>
      </c>
      <c r="K44" s="8">
        <f t="shared" si="28"/>
        <v>0.0237196323046619</v>
      </c>
      <c r="L44" s="8">
        <f t="shared" si="29"/>
        <v>9.09551435203223</v>
      </c>
      <c r="M44" s="8">
        <f t="shared" si="30"/>
        <v>8.0025037247767</v>
      </c>
      <c r="N44" s="12"/>
    </row>
    <row r="45" spans="1:34">
      <c r="A45" s="14" t="s">
        <v>395</v>
      </c>
      <c r="B45" s="23">
        <v>1100</v>
      </c>
      <c r="C45" s="8">
        <v>3.394</v>
      </c>
      <c r="D45" s="8">
        <v>0.0821</v>
      </c>
      <c r="E45" s="8">
        <v>3.1398</v>
      </c>
      <c r="F45" s="8">
        <v>0.0908</v>
      </c>
      <c r="G45" s="23">
        <f t="shared" si="33"/>
        <v>1100</v>
      </c>
      <c r="H45" s="8">
        <f t="shared" si="34"/>
        <v>2.03548212880438</v>
      </c>
      <c r="I45" s="8">
        <f t="shared" si="27"/>
        <v>0.0241897466116676</v>
      </c>
      <c r="J45" s="8">
        <f t="shared" si="35"/>
        <v>1.9269183385965</v>
      </c>
      <c r="K45" s="8">
        <f t="shared" si="28"/>
        <v>0.028919039429263</v>
      </c>
      <c r="L45" s="8">
        <f t="shared" si="29"/>
        <v>7.66503841455961</v>
      </c>
      <c r="M45" s="8">
        <f t="shared" si="30"/>
        <v>6.87411391854177</v>
      </c>
      <c r="N45" s="12"/>
    </row>
    <row r="46" spans="1:34">
      <c r="A46" s="14" t="s">
        <v>396</v>
      </c>
      <c r="B46" s="23">
        <v>1123.8</v>
      </c>
      <c r="C46" s="8">
        <v>2.836</v>
      </c>
      <c r="D46" s="8">
        <v>0.0646</v>
      </c>
      <c r="E46" s="8">
        <v>2.7976</v>
      </c>
      <c r="F46" s="8">
        <v>0.0739</v>
      </c>
      <c r="G46" s="23">
        <f t="shared" si="33"/>
        <v>1123.8</v>
      </c>
      <c r="H46" s="8">
        <f t="shared" si="34"/>
        <v>1.85586757066222</v>
      </c>
      <c r="I46" s="8">
        <f t="shared" si="27"/>
        <v>0.0227785613540198</v>
      </c>
      <c r="J46" s="8">
        <f t="shared" si="35"/>
        <v>1.81152114173945</v>
      </c>
      <c r="K46" s="8">
        <f t="shared" si="28"/>
        <v>0.0264154989991421</v>
      </c>
      <c r="L46" s="8">
        <f t="shared" si="29"/>
        <v>6.40484647722188</v>
      </c>
      <c r="M46" s="8">
        <f t="shared" si="30"/>
        <v>6.12491913450298</v>
      </c>
      <c r="N46" s="15" t="s">
        <v>397</v>
      </c>
      <c r="O46" s="24">
        <v>1126.1</v>
      </c>
      <c r="P46" s="16">
        <v>6.0903</v>
      </c>
      <c r="Q46" s="16">
        <v>0.1174</v>
      </c>
      <c r="R46" s="16">
        <v>5.7703</v>
      </c>
      <c r="S46" s="16">
        <v>0.1302</v>
      </c>
      <c r="T46" s="24">
        <f>O46</f>
        <v>1126.1</v>
      </c>
      <c r="U46" s="16">
        <f t="shared" ref="U46:U64" si="36">LN(P46)</f>
        <v>1.80669734159226</v>
      </c>
      <c r="V46" s="16">
        <f t="shared" si="16"/>
        <v>0.0192765545211238</v>
      </c>
      <c r="W46" s="16">
        <f t="shared" ref="W46:W64" si="37">LN((R46))</f>
        <v>1.75272407223601</v>
      </c>
      <c r="X46" s="16">
        <f t="shared" si="17"/>
        <v>0.0225638181723654</v>
      </c>
      <c r="Y46" s="16"/>
      <c r="Z46" s="16"/>
      <c r="AA46">
        <f t="shared" ref="AA46:AA49" si="38">P46/C46</f>
        <v>2.14749647390691</v>
      </c>
      <c r="AC46">
        <f t="shared" ref="AC46:AC49" si="39">R46/E46</f>
        <v>2.06258936231055</v>
      </c>
      <c r="AE46">
        <f>LN(P46)-LN(C46)</f>
        <v>0.764302732922381</v>
      </c>
      <c r="AG46">
        <f>LN(R46)-LN(E46)</f>
        <v>0.723962165468977</v>
      </c>
    </row>
    <row r="47" spans="1:34">
      <c r="A47" s="14" t="s">
        <v>398</v>
      </c>
      <c r="B47" s="23">
        <v>1149.3</v>
      </c>
      <c r="C47" s="8">
        <v>2.2629</v>
      </c>
      <c r="D47" s="8">
        <v>0.0612</v>
      </c>
      <c r="E47" s="8">
        <v>2.1853</v>
      </c>
      <c r="F47" s="8">
        <v>0.0713</v>
      </c>
      <c r="G47" s="23">
        <f t="shared" si="33"/>
        <v>1149.3</v>
      </c>
      <c r="H47" s="8">
        <f t="shared" si="34"/>
        <v>1.6301201385379</v>
      </c>
      <c r="I47" s="8">
        <f t="shared" si="27"/>
        <v>0.0270449423306377</v>
      </c>
      <c r="J47" s="8">
        <f t="shared" si="35"/>
        <v>1.56451235386639</v>
      </c>
      <c r="K47" s="8">
        <f t="shared" si="28"/>
        <v>0.032627099254107</v>
      </c>
      <c r="L47" s="8">
        <f t="shared" si="29"/>
        <v>5.11055257168737</v>
      </c>
      <c r="M47" s="8">
        <f t="shared" si="30"/>
        <v>4.78438153582691</v>
      </c>
      <c r="N47" s="15" t="s">
        <v>399</v>
      </c>
      <c r="O47" s="24">
        <v>1147.1</v>
      </c>
      <c r="P47" s="16">
        <v>5.5021</v>
      </c>
      <c r="Q47" s="16">
        <v>0.0997</v>
      </c>
      <c r="R47" s="16">
        <v>4.9934</v>
      </c>
      <c r="S47" s="16">
        <v>0.1097</v>
      </c>
      <c r="T47" s="24">
        <f t="shared" ref="T47:T64" si="40">O47</f>
        <v>1147.1</v>
      </c>
      <c r="U47" s="16">
        <f t="shared" si="36"/>
        <v>1.70512983754623</v>
      </c>
      <c r="V47" s="16">
        <f t="shared" ref="V47:V64" si="41">Q47/P47</f>
        <v>0.0181203540466367</v>
      </c>
      <c r="W47" s="16">
        <f t="shared" si="37"/>
        <v>1.60811704046668</v>
      </c>
      <c r="X47" s="16">
        <f t="shared" ref="X47:X64" si="42">S47/R47</f>
        <v>0.021968999078784</v>
      </c>
      <c r="Y47" s="16"/>
      <c r="Z47" s="16"/>
      <c r="AA47">
        <f t="shared" si="38"/>
        <v>2.43143753590525</v>
      </c>
      <c r="AC47">
        <f t="shared" si="39"/>
        <v>2.28499519516771</v>
      </c>
      <c r="AE47">
        <f>LN(P47)-LN(C47)</f>
        <v>0.888482661000673</v>
      </c>
      <c r="AG47">
        <f>LN(R47)-LN(E47)</f>
        <v>0.826363921572715</v>
      </c>
    </row>
    <row r="48" spans="1:34">
      <c r="A48" s="14" t="s">
        <v>400</v>
      </c>
      <c r="B48" s="23">
        <v>1171.9</v>
      </c>
      <c r="C48" s="8">
        <v>2.0568</v>
      </c>
      <c r="D48" s="8">
        <v>0.0554</v>
      </c>
      <c r="E48" s="8">
        <v>1.9956</v>
      </c>
      <c r="F48" s="8">
        <v>0.0647</v>
      </c>
      <c r="G48" s="23">
        <f t="shared" si="33"/>
        <v>1171.9</v>
      </c>
      <c r="H48" s="8">
        <f t="shared" si="34"/>
        <v>1.53462433896188</v>
      </c>
      <c r="I48" s="8">
        <f t="shared" si="27"/>
        <v>0.0269350447296772</v>
      </c>
      <c r="J48" s="8">
        <f t="shared" si="35"/>
        <v>1.47370399197717</v>
      </c>
      <c r="K48" s="8">
        <f t="shared" si="28"/>
        <v>0.0324213269192223</v>
      </c>
      <c r="L48" s="8">
        <f t="shared" si="29"/>
        <v>4.64509458192876</v>
      </c>
      <c r="M48" s="8">
        <f t="shared" si="30"/>
        <v>4.36906227652779</v>
      </c>
      <c r="N48" s="15" t="s">
        <v>401</v>
      </c>
      <c r="O48" s="24">
        <v>1174</v>
      </c>
      <c r="P48" s="16">
        <v>4.4769</v>
      </c>
      <c r="Q48" s="16">
        <v>0.0904</v>
      </c>
      <c r="R48" s="16">
        <v>4.2874</v>
      </c>
      <c r="S48" s="16">
        <v>0.103</v>
      </c>
      <c r="T48" s="24">
        <f t="shared" si="40"/>
        <v>1174</v>
      </c>
      <c r="U48" s="16">
        <f t="shared" si="36"/>
        <v>1.49893084262339</v>
      </c>
      <c r="V48" s="16">
        <f t="shared" si="41"/>
        <v>0.020192543947821</v>
      </c>
      <c r="W48" s="16">
        <f t="shared" si="37"/>
        <v>1.4556804886049</v>
      </c>
      <c r="X48" s="16">
        <f t="shared" si="42"/>
        <v>0.024023883938984</v>
      </c>
      <c r="Y48" s="16"/>
      <c r="Z48" s="16"/>
      <c r="AA48">
        <f t="shared" si="38"/>
        <v>2.17663360560093</v>
      </c>
      <c r="AC48">
        <f t="shared" si="39"/>
        <v>2.14842653838445</v>
      </c>
      <c r="AE48">
        <f>LN(P48)-LN(C48)</f>
        <v>0.777779465653852</v>
      </c>
      <c r="AG48">
        <f>LN(R48)-LN(E48)</f>
        <v>0.764735731600153</v>
      </c>
    </row>
    <row r="49" spans="1:34">
      <c r="A49" s="14" t="s">
        <v>402</v>
      </c>
      <c r="B49" s="23">
        <v>1197.7</v>
      </c>
      <c r="C49" s="8">
        <v>1.6942</v>
      </c>
      <c r="D49" s="8">
        <v>0.0481</v>
      </c>
      <c r="E49" s="8">
        <v>1.696</v>
      </c>
      <c r="F49" s="8">
        <v>0.0569</v>
      </c>
      <c r="G49" s="23">
        <f t="shared" si="33"/>
        <v>1197.7</v>
      </c>
      <c r="H49" s="8">
        <f t="shared" si="34"/>
        <v>1.34068361500765</v>
      </c>
      <c r="I49" s="8">
        <f t="shared" si="27"/>
        <v>0.0283909809939795</v>
      </c>
      <c r="J49" s="8">
        <f t="shared" si="35"/>
        <v>1.31103177234213</v>
      </c>
      <c r="K49" s="8">
        <f t="shared" si="28"/>
        <v>0.0335495283018868</v>
      </c>
      <c r="L49" s="8">
        <f t="shared" si="29"/>
        <v>3.82619566350822</v>
      </c>
      <c r="M49" s="8">
        <f t="shared" si="30"/>
        <v>3.71313370464579</v>
      </c>
      <c r="N49" s="15" t="s">
        <v>403</v>
      </c>
      <c r="O49" s="24">
        <v>1195.3</v>
      </c>
      <c r="P49" s="16">
        <v>3.8595</v>
      </c>
      <c r="Q49" s="16">
        <v>0.096</v>
      </c>
      <c r="R49" s="16">
        <v>3.8353</v>
      </c>
      <c r="S49" s="16">
        <v>0.1116</v>
      </c>
      <c r="T49" s="24">
        <f t="shared" si="40"/>
        <v>1195.3</v>
      </c>
      <c r="U49" s="16">
        <f t="shared" si="36"/>
        <v>1.35053764140777</v>
      </c>
      <c r="V49" s="16">
        <f t="shared" si="41"/>
        <v>0.0248736883015935</v>
      </c>
      <c r="W49" s="16">
        <f t="shared" si="37"/>
        <v>1.34424765861755</v>
      </c>
      <c r="X49" s="16">
        <f t="shared" si="42"/>
        <v>0.0290981148801919</v>
      </c>
      <c r="Y49" s="16"/>
      <c r="Z49" s="16"/>
      <c r="AA49">
        <f t="shared" si="38"/>
        <v>2.27806634399717</v>
      </c>
      <c r="AB49">
        <f>AVERAGE(AA46:AA49)</f>
        <v>2.25840848985257</v>
      </c>
      <c r="AC49">
        <f t="shared" si="39"/>
        <v>2.26137971698113</v>
      </c>
      <c r="AD49">
        <f>AVERAGE(AC46:AC49)</f>
        <v>2.18934770321096</v>
      </c>
      <c r="AE49">
        <f>LN(P49)-LN(C49)</f>
        <v>0.823326988392458</v>
      </c>
      <c r="AF49">
        <f>AVERAGE(AE46:AE49)</f>
        <v>0.813472961992341</v>
      </c>
      <c r="AG49">
        <f>LN(R49)-LN(E49)</f>
        <v>0.815975121247835</v>
      </c>
      <c r="AH49">
        <f>AVERAGE(AG46:AG49)</f>
        <v>0.78275923497242</v>
      </c>
    </row>
    <row r="50" spans="1:34">
      <c r="N50" s="15" t="s">
        <v>404</v>
      </c>
      <c r="O50" s="24">
        <v>1220.3</v>
      </c>
      <c r="P50" s="16">
        <v>3.1959</v>
      </c>
      <c r="Q50" s="16">
        <v>0.0818</v>
      </c>
      <c r="R50" s="16">
        <v>3.1158</v>
      </c>
      <c r="S50" s="16">
        <v>0.0966</v>
      </c>
      <c r="T50" s="24">
        <f t="shared" si="40"/>
        <v>1220.3</v>
      </c>
      <c r="U50" s="16">
        <f t="shared" si="36"/>
        <v>1.16186873830312</v>
      </c>
      <c r="V50" s="16">
        <f t="shared" si="41"/>
        <v>0.0255952939703996</v>
      </c>
      <c r="W50" s="16">
        <f t="shared" si="37"/>
        <v>1.13648594109619</v>
      </c>
      <c r="X50" s="16">
        <f t="shared" si="42"/>
        <v>0.0310032736375891</v>
      </c>
      <c r="Y50" s="16"/>
      <c r="Z50" s="16"/>
    </row>
    <row r="51" spans="1:34">
      <c r="N51" s="15" t="s">
        <v>405</v>
      </c>
      <c r="O51" s="24">
        <v>1244.4</v>
      </c>
      <c r="P51" s="16">
        <v>2.7775</v>
      </c>
      <c r="Q51" s="16">
        <v>0.0794</v>
      </c>
      <c r="R51" s="16">
        <v>2.6423</v>
      </c>
      <c r="S51" s="16">
        <v>0.0955</v>
      </c>
      <c r="T51" s="24">
        <f t="shared" si="40"/>
        <v>1244.4</v>
      </c>
      <c r="U51" s="16">
        <f t="shared" si="36"/>
        <v>1.02155124253165</v>
      </c>
      <c r="V51" s="16">
        <f t="shared" si="41"/>
        <v>0.0285868586858686</v>
      </c>
      <c r="W51" s="16">
        <f t="shared" si="37"/>
        <v>0.971649749994433</v>
      </c>
      <c r="X51" s="16">
        <f t="shared" si="42"/>
        <v>0.036142754418499</v>
      </c>
      <c r="Y51" s="16"/>
      <c r="Z51" s="16"/>
    </row>
    <row r="52" spans="1:34">
      <c r="N52" s="15" t="s">
        <v>406</v>
      </c>
      <c r="O52" s="24">
        <v>1268.2</v>
      </c>
      <c r="P52" s="16">
        <v>2.3256</v>
      </c>
      <c r="Q52" s="16">
        <v>0.0798</v>
      </c>
      <c r="R52" s="16">
        <v>2.152</v>
      </c>
      <c r="S52" s="16">
        <v>0.0956</v>
      </c>
      <c r="T52" s="24">
        <f t="shared" si="40"/>
        <v>1268.2</v>
      </c>
      <c r="U52" s="16">
        <f t="shared" si="36"/>
        <v>0.843978070262529</v>
      </c>
      <c r="V52" s="16">
        <f t="shared" si="41"/>
        <v>0.0343137254901961</v>
      </c>
      <c r="W52" s="16">
        <f t="shared" si="37"/>
        <v>0.766397642299538</v>
      </c>
      <c r="X52" s="16">
        <f t="shared" si="42"/>
        <v>0.0444237918215613</v>
      </c>
      <c r="Y52" s="16"/>
      <c r="Z52" s="16"/>
    </row>
    <row r="53" spans="1:34">
      <c r="N53" s="15" t="s">
        <v>407</v>
      </c>
      <c r="O53" s="24">
        <v>1292.4</v>
      </c>
      <c r="P53" s="16">
        <v>2.0615</v>
      </c>
      <c r="Q53" s="16">
        <v>0.058</v>
      </c>
      <c r="R53" s="16">
        <v>1.8548</v>
      </c>
      <c r="S53" s="16">
        <v>0.0695</v>
      </c>
      <c r="T53" s="24">
        <f t="shared" si="40"/>
        <v>1292.4</v>
      </c>
      <c r="U53" s="16">
        <f t="shared" si="36"/>
        <v>0.723433873164818</v>
      </c>
      <c r="V53" s="16">
        <f t="shared" si="41"/>
        <v>0.0281348532621877</v>
      </c>
      <c r="W53" s="16">
        <f t="shared" si="37"/>
        <v>0.617776873535169</v>
      </c>
      <c r="X53" s="16">
        <f t="shared" si="42"/>
        <v>0.0374703472072461</v>
      </c>
      <c r="Y53" s="16"/>
      <c r="Z53" s="16"/>
    </row>
    <row r="54" spans="1:34">
      <c r="N54" s="15" t="s">
        <v>408</v>
      </c>
      <c r="O54" s="24">
        <v>1316.5</v>
      </c>
      <c r="P54" s="16">
        <v>1.6233</v>
      </c>
      <c r="Q54" s="16">
        <v>0.0519</v>
      </c>
      <c r="R54" s="16">
        <v>1.5969</v>
      </c>
      <c r="S54" s="16">
        <v>0.0572</v>
      </c>
      <c r="T54" s="24">
        <f t="shared" si="40"/>
        <v>1316.5</v>
      </c>
      <c r="U54" s="16">
        <f t="shared" si="36"/>
        <v>0.484461114334662</v>
      </c>
      <c r="V54" s="16">
        <f t="shared" si="41"/>
        <v>0.0319719090741083</v>
      </c>
      <c r="W54" s="16">
        <f t="shared" si="37"/>
        <v>0.468064249864684</v>
      </c>
      <c r="X54" s="16">
        <f t="shared" si="42"/>
        <v>0.0358194000876699</v>
      </c>
      <c r="Y54" s="16"/>
      <c r="Z54" s="16"/>
    </row>
    <row r="55" spans="1:34">
      <c r="N55" s="15" t="s">
        <v>409</v>
      </c>
      <c r="O55" s="24">
        <v>1340.7</v>
      </c>
      <c r="P55" s="16">
        <v>1.2911</v>
      </c>
      <c r="Q55" s="16">
        <v>0.0393</v>
      </c>
      <c r="R55" s="16">
        <v>1.5183</v>
      </c>
      <c r="S55" s="16">
        <v>0.0456</v>
      </c>
      <c r="T55" s="24">
        <f t="shared" si="40"/>
        <v>1340.7</v>
      </c>
      <c r="U55" s="16">
        <f t="shared" si="36"/>
        <v>0.255494568198536</v>
      </c>
      <c r="V55" s="16">
        <f t="shared" si="41"/>
        <v>0.0304391604058555</v>
      </c>
      <c r="W55" s="16">
        <f t="shared" si="37"/>
        <v>0.417591287906005</v>
      </c>
      <c r="X55" s="16">
        <f t="shared" si="42"/>
        <v>0.0300335901995653</v>
      </c>
      <c r="Y55" s="16"/>
      <c r="Z55" s="16"/>
    </row>
    <row r="56" spans="1:34">
      <c r="N56" s="15" t="s">
        <v>410</v>
      </c>
      <c r="O56" s="24">
        <v>1364.9</v>
      </c>
      <c r="P56" s="16">
        <v>1.069</v>
      </c>
      <c r="Q56" s="16">
        <v>0.0378</v>
      </c>
      <c r="R56" s="16">
        <v>1.2898</v>
      </c>
      <c r="S56" s="16">
        <v>0.0441</v>
      </c>
      <c r="T56" s="24">
        <f t="shared" si="40"/>
        <v>1364.9</v>
      </c>
      <c r="U56" s="16">
        <f t="shared" si="36"/>
        <v>0.0667236320429081</v>
      </c>
      <c r="V56" s="16">
        <f t="shared" si="41"/>
        <v>0.0353601496725912</v>
      </c>
      <c r="W56" s="16">
        <f t="shared" si="37"/>
        <v>0.25448716759414</v>
      </c>
      <c r="X56" s="16">
        <f t="shared" si="42"/>
        <v>0.0341913474957358</v>
      </c>
      <c r="Y56" s="16"/>
      <c r="Z56" s="16"/>
    </row>
    <row r="57" spans="1:34">
      <c r="N57" s="15" t="s">
        <v>411</v>
      </c>
      <c r="O57" s="24">
        <v>1389.9</v>
      </c>
      <c r="P57" s="16">
        <v>0.9145</v>
      </c>
      <c r="Q57" s="16">
        <v>0.0335</v>
      </c>
      <c r="R57" s="16">
        <v>1.1401</v>
      </c>
      <c r="S57" s="16">
        <v>0.0395</v>
      </c>
      <c r="T57" s="24">
        <f t="shared" si="40"/>
        <v>1389.9</v>
      </c>
      <c r="U57" s="16">
        <f t="shared" si="36"/>
        <v>-0.0893778111512167</v>
      </c>
      <c r="V57" s="16">
        <f t="shared" si="41"/>
        <v>0.0366320393657737</v>
      </c>
      <c r="W57" s="16">
        <f t="shared" si="37"/>
        <v>0.131115977857537</v>
      </c>
      <c r="X57" s="16">
        <f t="shared" si="42"/>
        <v>0.0346460836768705</v>
      </c>
      <c r="Y57" s="16"/>
      <c r="Z57" s="16"/>
    </row>
    <row r="58" spans="1:34">
      <c r="N58" s="15" t="s">
        <v>412</v>
      </c>
      <c r="O58" s="24">
        <v>1418.8</v>
      </c>
      <c r="P58" s="16">
        <v>0.7344</v>
      </c>
      <c r="Q58" s="16">
        <v>0.0303</v>
      </c>
      <c r="R58" s="16">
        <v>0.8747</v>
      </c>
      <c r="S58" s="16">
        <v>0.0354</v>
      </c>
      <c r="T58" s="24">
        <f t="shared" si="40"/>
        <v>1418.8</v>
      </c>
      <c r="U58" s="16">
        <f t="shared" si="36"/>
        <v>-0.308701439675856</v>
      </c>
      <c r="V58" s="16">
        <f t="shared" si="41"/>
        <v>0.0412581699346405</v>
      </c>
      <c r="W58" s="16">
        <f t="shared" si="37"/>
        <v>-0.133874308556328</v>
      </c>
      <c r="X58" s="16">
        <f t="shared" si="42"/>
        <v>0.0404710186349606</v>
      </c>
      <c r="Y58" s="16"/>
      <c r="Z58" s="16"/>
    </row>
    <row r="59" spans="1:34">
      <c r="N59" s="15" t="s">
        <v>413</v>
      </c>
      <c r="O59" s="24">
        <v>1431.4</v>
      </c>
      <c r="P59" s="16">
        <v>0.6479</v>
      </c>
      <c r="Q59" s="16">
        <v>0.0281</v>
      </c>
      <c r="R59" s="16">
        <v>0.8618</v>
      </c>
      <c r="S59" s="16">
        <v>0.034</v>
      </c>
      <c r="T59" s="24">
        <f t="shared" si="40"/>
        <v>1431.4</v>
      </c>
      <c r="U59" s="16">
        <f t="shared" si="36"/>
        <v>-0.434018915526225</v>
      </c>
      <c r="V59" s="16">
        <f t="shared" si="41"/>
        <v>0.0433708905695323</v>
      </c>
      <c r="W59" s="16">
        <f t="shared" si="37"/>
        <v>-0.148732053800399</v>
      </c>
      <c r="X59" s="16">
        <f t="shared" si="42"/>
        <v>0.0394523091204456</v>
      </c>
      <c r="Y59" s="16"/>
      <c r="Z59" s="16"/>
    </row>
    <row r="60" spans="1:34">
      <c r="N60" s="15" t="s">
        <v>414</v>
      </c>
      <c r="O60" s="24">
        <v>1467.6</v>
      </c>
      <c r="P60" s="16">
        <v>0.478</v>
      </c>
      <c r="Q60" s="16">
        <v>0.02</v>
      </c>
      <c r="R60" s="16">
        <v>0.6983</v>
      </c>
      <c r="S60" s="16">
        <v>0.0242</v>
      </c>
      <c r="T60" s="24">
        <f t="shared" si="40"/>
        <v>1467.6</v>
      </c>
      <c r="U60" s="16">
        <f t="shared" si="36"/>
        <v>-0.738144546490681</v>
      </c>
      <c r="V60" s="16">
        <f t="shared" si="41"/>
        <v>0.0418410041841004</v>
      </c>
      <c r="W60" s="16">
        <f t="shared" si="37"/>
        <v>-0.359106469130147</v>
      </c>
      <c r="X60" s="16">
        <f t="shared" si="42"/>
        <v>0.03465559215237</v>
      </c>
      <c r="Y60" s="16"/>
      <c r="Z60" s="16"/>
    </row>
    <row r="61" spans="1:34">
      <c r="N61" s="15" t="s">
        <v>415</v>
      </c>
      <c r="O61" s="24">
        <v>1486.5</v>
      </c>
      <c r="P61" s="16">
        <v>0.4542</v>
      </c>
      <c r="Q61" s="16">
        <v>0.0217</v>
      </c>
      <c r="R61" s="16">
        <v>0.5534</v>
      </c>
      <c r="S61" s="16">
        <v>0.0257</v>
      </c>
      <c r="T61" s="24">
        <f t="shared" si="40"/>
        <v>1486.5</v>
      </c>
      <c r="U61" s="16">
        <f t="shared" si="36"/>
        <v>-0.789217649310679</v>
      </c>
      <c r="V61" s="16">
        <f t="shared" si="41"/>
        <v>0.0477763099955967</v>
      </c>
      <c r="W61" s="16">
        <f t="shared" si="37"/>
        <v>-0.591674211629312</v>
      </c>
      <c r="X61" s="16">
        <f t="shared" si="42"/>
        <v>0.0464401879291652</v>
      </c>
      <c r="Y61" s="16"/>
      <c r="Z61" s="16"/>
    </row>
    <row r="62" spans="1:34">
      <c r="N62" s="15" t="s">
        <v>416</v>
      </c>
      <c r="O62" s="24">
        <v>1515.7</v>
      </c>
      <c r="P62" s="16">
        <v>0.2864</v>
      </c>
      <c r="Q62" s="16">
        <v>0.0235</v>
      </c>
      <c r="R62" s="16">
        <v>0.4716</v>
      </c>
      <c r="S62" s="16">
        <v>0.0287</v>
      </c>
      <c r="T62" s="24">
        <f t="shared" si="40"/>
        <v>1515.7</v>
      </c>
      <c r="U62" s="16">
        <f t="shared" si="36"/>
        <v>-1.25036584389565</v>
      </c>
      <c r="V62" s="16">
        <f t="shared" si="41"/>
        <v>0.0820530726256983</v>
      </c>
      <c r="W62" s="16">
        <f t="shared" si="37"/>
        <v>-0.751624110318921</v>
      </c>
      <c r="X62" s="16">
        <f t="shared" si="42"/>
        <v>0.0608566581849025</v>
      </c>
      <c r="Y62" s="16"/>
      <c r="Z62" s="16"/>
    </row>
    <row r="63" spans="1:34">
      <c r="N63" s="15" t="s">
        <v>417</v>
      </c>
      <c r="O63" s="24">
        <v>1527</v>
      </c>
      <c r="P63" s="16">
        <v>0.2755</v>
      </c>
      <c r="Q63" s="16">
        <v>0.0245</v>
      </c>
      <c r="R63" s="16">
        <v>0.4166</v>
      </c>
      <c r="S63" s="16">
        <v>0.0294</v>
      </c>
      <c r="T63" s="24">
        <f t="shared" si="40"/>
        <v>1527</v>
      </c>
      <c r="U63" s="16">
        <f t="shared" si="36"/>
        <v>-1.28916765038917</v>
      </c>
      <c r="V63" s="16">
        <f t="shared" si="41"/>
        <v>0.0889292196007259</v>
      </c>
      <c r="W63" s="16">
        <f t="shared" si="37"/>
        <v>-0.875628750155265</v>
      </c>
      <c r="X63" s="16">
        <f t="shared" si="42"/>
        <v>0.070571291406625</v>
      </c>
      <c r="Y63" s="16"/>
      <c r="Z63" s="16"/>
    </row>
    <row r="64" spans="1:34">
      <c r="N64" s="15" t="s">
        <v>418</v>
      </c>
      <c r="O64" s="24">
        <v>1565.8</v>
      </c>
      <c r="P64" s="16">
        <v>0.1889</v>
      </c>
      <c r="Q64" s="16">
        <v>0.016</v>
      </c>
      <c r="R64" s="16">
        <v>0.2685</v>
      </c>
      <c r="S64" s="16">
        <v>0.0194</v>
      </c>
      <c r="T64" s="24">
        <f t="shared" si="40"/>
        <v>1565.8</v>
      </c>
      <c r="U64" s="16">
        <f t="shared" si="36"/>
        <v>-1.66653750447467</v>
      </c>
      <c r="V64" s="16">
        <f t="shared" si="41"/>
        <v>0.0847008999470619</v>
      </c>
      <c r="W64" s="16">
        <f t="shared" si="37"/>
        <v>-1.31490436503322</v>
      </c>
      <c r="X64" s="16">
        <f t="shared" si="42"/>
        <v>0.0722532588454376</v>
      </c>
      <c r="Y64" s="16"/>
      <c r="Z64" s="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4"/>
  <sheetViews>
    <sheetView tabSelected="1" topLeftCell="B28" workbookViewId="0">
      <selection activeCell="G39" sqref="G39:I49"/>
    </sheetView>
  </sheetViews>
  <sheetFormatPr defaultColWidth="9" defaultRowHeight="14.4"/>
  <cols>
    <col min="1" max="1" width="13" hidden="1" customWidth="1"/>
    <col min="2" max="2" width="10.6666666666667" style="17" customWidth="1"/>
    <col min="3" max="3" width="9.77777777777778" customWidth="1"/>
    <col min="4" max="4" width="11.1111111111111" customWidth="1"/>
    <col min="5" max="5" width="9.44444444444444" customWidth="1"/>
    <col min="6" max="6" width="10.6666666666667" customWidth="1"/>
    <col min="7" max="7" width="8.44444444444444" style="17" customWidth="1"/>
    <col min="8" max="9" width="15" customWidth="1"/>
    <col min="10" max="11" width="12.8888888888889" hidden="1" customWidth="1"/>
    <col min="12" max="12" width="13" hidden="1" customWidth="1"/>
    <col min="13" max="13" width="9.11111111111111" style="17" customWidth="1"/>
    <col min="14" max="17" width="12.8888888888889" customWidth="1"/>
    <col min="18" max="18" width="8.55555555555556" style="17" customWidth="1"/>
    <col min="19" max="20" width="15" customWidth="1"/>
    <col min="21" max="22" width="12.8888888888889" hidden="1" customWidth="1"/>
    <col min="23" max="24" width="12.8888888888889" customWidth="1"/>
    <col min="25" max="25" width="16.2222222222222" customWidth="1"/>
    <col min="26" max="26" width="12.8888888888889" customWidth="1"/>
    <col min="27" max="30" width="12.8888888888889"/>
  </cols>
  <sheetData>
    <row r="1" ht="17.4" spans="1:29">
      <c r="A1" s="1" t="s">
        <v>324</v>
      </c>
      <c r="B1" s="18" t="s">
        <v>325</v>
      </c>
      <c r="C1" s="1">
        <v>747</v>
      </c>
      <c r="D1" s="1" t="s">
        <v>326</v>
      </c>
      <c r="E1" s="1" t="s">
        <v>327</v>
      </c>
      <c r="F1" s="1" t="s">
        <v>328</v>
      </c>
      <c r="G1" s="18" t="s">
        <v>325</v>
      </c>
      <c r="H1" s="1" t="s">
        <v>329</v>
      </c>
      <c r="I1" s="1" t="s">
        <v>330</v>
      </c>
      <c r="J1" s="1" t="s">
        <v>331</v>
      </c>
      <c r="K1" s="1" t="s">
        <v>332</v>
      </c>
      <c r="L1" s="2" t="s">
        <v>333</v>
      </c>
      <c r="M1" s="18" t="s">
        <v>325</v>
      </c>
      <c r="N1" s="1" t="s">
        <v>334</v>
      </c>
      <c r="O1" s="1" t="s">
        <v>326</v>
      </c>
      <c r="P1" s="1" t="s">
        <v>327</v>
      </c>
      <c r="Q1" s="1" t="s">
        <v>328</v>
      </c>
      <c r="R1" s="18"/>
      <c r="S1" s="1" t="s">
        <v>329</v>
      </c>
      <c r="T1" s="1" t="s">
        <v>330</v>
      </c>
      <c r="U1" s="1" t="s">
        <v>331</v>
      </c>
      <c r="V1" s="1" t="s">
        <v>332</v>
      </c>
      <c r="W1" s="1"/>
      <c r="Y1" t="s">
        <v>335</v>
      </c>
    </row>
    <row r="2" spans="1:29">
      <c r="A2" s="3" t="s">
        <v>336</v>
      </c>
      <c r="L2" s="4" t="s">
        <v>336</v>
      </c>
      <c r="M2" s="19">
        <v>54.6</v>
      </c>
      <c r="N2" s="5">
        <v>12.9519</v>
      </c>
      <c r="O2" s="4">
        <v>0.1863</v>
      </c>
      <c r="P2" s="5">
        <v>3.9444</v>
      </c>
      <c r="Q2" s="4">
        <v>0.1409</v>
      </c>
      <c r="R2" s="19">
        <f t="shared" ref="R2:R14" si="0">M2</f>
        <v>54.6</v>
      </c>
      <c r="S2" s="5">
        <f>LN(N2)</f>
        <v>2.56124249553021</v>
      </c>
      <c r="T2" s="5">
        <f>LN(P2)</f>
        <v>1.37229685147604</v>
      </c>
      <c r="U2" s="5">
        <f t="shared" ref="U2:U14" si="1">N2*$X$20*$X$29*$X$42*$X$49</f>
        <v>7058.90319331379</v>
      </c>
      <c r="V2" s="5">
        <f t="shared" ref="V2:V14" si="2">P2*$Z$20*$Z$29*$Z$42*$Z$49</f>
        <v>5979.00861928624</v>
      </c>
      <c r="Y2" s="5" t="s">
        <v>337</v>
      </c>
    </row>
    <row r="3" spans="1:29">
      <c r="A3" s="3" t="s">
        <v>338</v>
      </c>
      <c r="L3" s="4" t="s">
        <v>338</v>
      </c>
      <c r="M3" s="19">
        <v>90.8</v>
      </c>
      <c r="N3" s="5">
        <v>9.9829</v>
      </c>
      <c r="O3" s="4">
        <v>0.1643</v>
      </c>
      <c r="P3" s="5">
        <v>3.1604</v>
      </c>
      <c r="Q3" s="4">
        <v>0.1273</v>
      </c>
      <c r="R3" s="19">
        <f t="shared" si="0"/>
        <v>90.8</v>
      </c>
      <c r="S3" s="5">
        <f t="shared" ref="S3:S14" si="3">LN(N3)</f>
        <v>2.30087362927517</v>
      </c>
      <c r="T3" s="5">
        <f t="shared" ref="T3:T14" si="4">LN(P3)</f>
        <v>1.15069860186644</v>
      </c>
      <c r="U3" s="5">
        <f t="shared" si="1"/>
        <v>5440.77121414868</v>
      </c>
      <c r="V3" s="5">
        <f t="shared" si="2"/>
        <v>4790.60410718797</v>
      </c>
      <c r="Y3" s="6" t="s">
        <v>339</v>
      </c>
    </row>
    <row r="4" spans="1:29">
      <c r="A4" s="3" t="s">
        <v>340</v>
      </c>
      <c r="L4" s="4" t="s">
        <v>340</v>
      </c>
      <c r="M4" s="19">
        <v>114.3</v>
      </c>
      <c r="N4" s="5">
        <v>8.722</v>
      </c>
      <c r="O4" s="4">
        <v>0.1432</v>
      </c>
      <c r="P4" s="5">
        <v>2.7268</v>
      </c>
      <c r="Q4" s="4">
        <v>0.1111</v>
      </c>
      <c r="R4" s="19">
        <f t="shared" si="0"/>
        <v>114.3</v>
      </c>
      <c r="S4" s="5">
        <f t="shared" si="3"/>
        <v>2.16584856942057</v>
      </c>
      <c r="T4" s="5">
        <f t="shared" si="4"/>
        <v>1.00312876050649</v>
      </c>
      <c r="U4" s="5">
        <f t="shared" si="1"/>
        <v>4753.56925640893</v>
      </c>
      <c r="V4" s="5">
        <f t="shared" si="2"/>
        <v>4133.3436525377</v>
      </c>
      <c r="Y4" s="7" t="s">
        <v>341</v>
      </c>
    </row>
    <row r="5" spans="1:29">
      <c r="A5" s="3" t="s">
        <v>342</v>
      </c>
      <c r="L5" s="4" t="s">
        <v>342</v>
      </c>
      <c r="M5" s="19">
        <v>138.2</v>
      </c>
      <c r="N5" s="5">
        <v>7.3955</v>
      </c>
      <c r="O5" s="4">
        <v>0.1347</v>
      </c>
      <c r="P5" s="5">
        <v>2.3715</v>
      </c>
      <c r="Q5" s="4">
        <v>0.1061</v>
      </c>
      <c r="R5" s="19">
        <f t="shared" si="0"/>
        <v>138.2</v>
      </c>
      <c r="S5" s="5">
        <f t="shared" si="3"/>
        <v>2.00087170712929</v>
      </c>
      <c r="T5" s="5">
        <f t="shared" si="4"/>
        <v>0.863522666335499</v>
      </c>
      <c r="U5" s="5">
        <f t="shared" si="1"/>
        <v>4030.61470256504</v>
      </c>
      <c r="V5" s="5">
        <f t="shared" si="2"/>
        <v>3594.77206688909</v>
      </c>
      <c r="Y5" s="8" t="s">
        <v>343</v>
      </c>
    </row>
    <row r="6" spans="1:29">
      <c r="A6" s="3" t="s">
        <v>344</v>
      </c>
      <c r="L6" s="4" t="s">
        <v>344</v>
      </c>
      <c r="M6" s="19">
        <v>162.2</v>
      </c>
      <c r="N6" s="5">
        <v>6.1763</v>
      </c>
      <c r="O6" s="4">
        <v>0.1179</v>
      </c>
      <c r="P6" s="5">
        <v>2.0412</v>
      </c>
      <c r="Q6" s="4">
        <v>0.0948</v>
      </c>
      <c r="R6" s="19">
        <f t="shared" si="0"/>
        <v>162.2</v>
      </c>
      <c r="S6" s="5">
        <f t="shared" si="3"/>
        <v>1.82071938667228</v>
      </c>
      <c r="T6" s="5">
        <f t="shared" si="4"/>
        <v>0.713537870207679</v>
      </c>
      <c r="U6" s="5">
        <f t="shared" si="1"/>
        <v>3366.13962375126</v>
      </c>
      <c r="V6" s="5">
        <f t="shared" si="2"/>
        <v>3094.09603328442</v>
      </c>
      <c r="Y6" s="9" t="s">
        <v>345</v>
      </c>
    </row>
    <row r="7" spans="1:29">
      <c r="A7" s="3" t="s">
        <v>346</v>
      </c>
      <c r="L7" s="4" t="s">
        <v>346</v>
      </c>
      <c r="M7" s="19">
        <v>186.2</v>
      </c>
      <c r="N7" s="5">
        <v>5.4153</v>
      </c>
      <c r="O7" s="4">
        <v>0.1121</v>
      </c>
      <c r="P7" s="5">
        <v>1.7413</v>
      </c>
      <c r="Q7" s="4">
        <v>0.0892</v>
      </c>
      <c r="R7" s="19">
        <f t="shared" si="0"/>
        <v>186.2</v>
      </c>
      <c r="S7" s="5">
        <f t="shared" si="3"/>
        <v>1.68922828058039</v>
      </c>
      <c r="T7" s="5">
        <f t="shared" si="4"/>
        <v>0.5546319607032</v>
      </c>
      <c r="U7" s="5">
        <f t="shared" si="1"/>
        <v>2951.3877085796</v>
      </c>
      <c r="V7" s="5">
        <f t="shared" si="2"/>
        <v>2639.5009909652</v>
      </c>
    </row>
    <row r="8" spans="1:29">
      <c r="A8" s="3" t="s">
        <v>347</v>
      </c>
      <c r="L8" s="4" t="s">
        <v>347</v>
      </c>
      <c r="M8" s="19">
        <v>210.4</v>
      </c>
      <c r="N8" s="5">
        <v>4.7509</v>
      </c>
      <c r="O8" s="4">
        <v>0.0746</v>
      </c>
      <c r="P8" s="5">
        <v>1.3669</v>
      </c>
      <c r="Q8" s="4">
        <v>0.0584</v>
      </c>
      <c r="R8" s="19">
        <f t="shared" si="0"/>
        <v>210.4</v>
      </c>
      <c r="S8" s="5">
        <f t="shared" si="3"/>
        <v>1.55833407378289</v>
      </c>
      <c r="T8" s="5">
        <f t="shared" si="4"/>
        <v>0.31254540217647</v>
      </c>
      <c r="U8" s="5">
        <f t="shared" si="1"/>
        <v>2589.28367120766</v>
      </c>
      <c r="V8" s="5">
        <f t="shared" si="2"/>
        <v>2071.977203555</v>
      </c>
    </row>
    <row r="9" spans="1:29">
      <c r="A9" s="3" t="s">
        <v>348</v>
      </c>
      <c r="L9" s="4" t="s">
        <v>348</v>
      </c>
      <c r="M9" s="19">
        <v>234.7</v>
      </c>
      <c r="N9" s="5">
        <v>4.039</v>
      </c>
      <c r="O9" s="4">
        <v>0.0635</v>
      </c>
      <c r="P9" s="5">
        <v>1.2614</v>
      </c>
      <c r="Q9" s="4">
        <v>0.0501</v>
      </c>
      <c r="R9" s="19">
        <f t="shared" si="0"/>
        <v>234.7</v>
      </c>
      <c r="S9" s="5">
        <f t="shared" si="3"/>
        <v>1.39599713658128</v>
      </c>
      <c r="T9" s="5">
        <f t="shared" si="4"/>
        <v>0.232222215247414</v>
      </c>
      <c r="U9" s="5">
        <f t="shared" si="1"/>
        <v>2201.29170220542</v>
      </c>
      <c r="V9" s="5">
        <f t="shared" si="2"/>
        <v>1912.05797392954</v>
      </c>
    </row>
    <row r="10" spans="1:29">
      <c r="A10" s="3" t="s">
        <v>349</v>
      </c>
      <c r="L10" s="4" t="s">
        <v>349</v>
      </c>
      <c r="M10" s="19">
        <v>258.9</v>
      </c>
      <c r="N10" s="5">
        <v>3.4398</v>
      </c>
      <c r="O10" s="4">
        <v>0.0539</v>
      </c>
      <c r="P10" s="5">
        <v>1.0992</v>
      </c>
      <c r="Q10" s="4">
        <v>0.0428</v>
      </c>
      <c r="R10" s="19">
        <f t="shared" si="0"/>
        <v>258.9</v>
      </c>
      <c r="S10" s="5">
        <f t="shared" si="3"/>
        <v>1.23541333016026</v>
      </c>
      <c r="T10" s="5">
        <f t="shared" si="4"/>
        <v>0.0945826424859478</v>
      </c>
      <c r="U10" s="5">
        <f t="shared" si="1"/>
        <v>1874.72225730285</v>
      </c>
      <c r="V10" s="5">
        <f t="shared" si="2"/>
        <v>1666.19163226839</v>
      </c>
    </row>
    <row r="11" spans="1:29">
      <c r="A11" s="3" t="s">
        <v>350</v>
      </c>
      <c r="L11" s="4" t="s">
        <v>350</v>
      </c>
      <c r="M11" s="19">
        <v>283</v>
      </c>
      <c r="N11" s="5">
        <v>2.9241</v>
      </c>
      <c r="O11" s="4">
        <v>0.0455</v>
      </c>
      <c r="P11" s="5">
        <v>0.9129</v>
      </c>
      <c r="Q11" s="4">
        <v>0.0362</v>
      </c>
      <c r="R11" s="19">
        <f t="shared" si="0"/>
        <v>283</v>
      </c>
      <c r="S11" s="5">
        <f t="shared" si="3"/>
        <v>1.07298674102914</v>
      </c>
      <c r="T11" s="5">
        <f t="shared" si="4"/>
        <v>-0.0911289334111019</v>
      </c>
      <c r="U11" s="5">
        <f t="shared" si="1"/>
        <v>1593.6610711609</v>
      </c>
      <c r="V11" s="5">
        <f t="shared" si="2"/>
        <v>1383.79397843687</v>
      </c>
    </row>
    <row r="12" spans="1:29">
      <c r="A12" s="10" t="s">
        <v>351</v>
      </c>
      <c r="B12" s="20">
        <v>309.5</v>
      </c>
      <c r="C12" s="11">
        <v>19.1662</v>
      </c>
      <c r="D12" s="11">
        <v>0.2943</v>
      </c>
      <c r="E12" s="11">
        <v>13.7423</v>
      </c>
      <c r="F12" s="11">
        <v>0.2748</v>
      </c>
      <c r="G12" s="20">
        <f t="shared" ref="G12:G29" si="5">B12</f>
        <v>309.5</v>
      </c>
      <c r="H12" s="11">
        <f>LN(C12)</f>
        <v>2.9531483110127</v>
      </c>
      <c r="I12" s="11">
        <f>LN(E12)</f>
        <v>2.62047866725402</v>
      </c>
      <c r="J12" s="11">
        <f t="shared" ref="J12:J29" si="6">C12*$X$29*$X$42*$X$49</f>
        <v>1324.40243573009</v>
      </c>
      <c r="K12" s="11">
        <f t="shared" ref="K12:K29" si="7">E12*$Z$29*$Z$42*$Z$49</f>
        <v>1191.91059284671</v>
      </c>
      <c r="L12" s="4" t="s">
        <v>351</v>
      </c>
      <c r="M12" s="19">
        <v>307.1</v>
      </c>
      <c r="N12" s="5">
        <v>2.4787</v>
      </c>
      <c r="O12" s="4">
        <v>0.0455</v>
      </c>
      <c r="P12" s="5">
        <v>0.7833</v>
      </c>
      <c r="Q12" s="4">
        <v>0.0366</v>
      </c>
      <c r="R12" s="19">
        <f t="shared" si="0"/>
        <v>307.1</v>
      </c>
      <c r="S12" s="5">
        <f t="shared" si="3"/>
        <v>0.907734229191034</v>
      </c>
      <c r="T12" s="5">
        <f t="shared" si="4"/>
        <v>-0.244239514608944</v>
      </c>
      <c r="U12" s="5">
        <f t="shared" si="1"/>
        <v>1350.91402383178</v>
      </c>
      <c r="V12" s="5">
        <f t="shared" si="2"/>
        <v>1187.34343664104</v>
      </c>
      <c r="W12">
        <f t="shared" ref="W12:W14" si="8">C12/N12</f>
        <v>7.73235970468391</v>
      </c>
      <c r="Y12">
        <f t="shared" ref="Y12:Y14" si="9">E12/P12</f>
        <v>17.544108259926</v>
      </c>
      <c r="AA12">
        <f t="shared" ref="AA12:AA14" si="10">LN(C12)-LN(N12)</f>
        <v>2.04541408182166</v>
      </c>
      <c r="AC12">
        <f t="shared" ref="AC12:AC14" si="11">LN(E12)-LN(P12)</f>
        <v>2.86471818186296</v>
      </c>
    </row>
    <row r="13" spans="1:29">
      <c r="A13" s="10" t="s">
        <v>352</v>
      </c>
      <c r="B13" s="20">
        <v>330.5</v>
      </c>
      <c r="C13" s="11">
        <v>16.9645</v>
      </c>
      <c r="D13" s="11">
        <v>0.2576</v>
      </c>
      <c r="E13" s="11">
        <v>11.394</v>
      </c>
      <c r="F13" s="11">
        <v>0.2368</v>
      </c>
      <c r="G13" s="20">
        <f t="shared" si="5"/>
        <v>330.5</v>
      </c>
      <c r="H13" s="11">
        <f t="shared" ref="H13:H29" si="12">LN(C13)</f>
        <v>2.83112292535861</v>
      </c>
      <c r="I13" s="11">
        <f t="shared" ref="I13:I29" si="13">LN(E13)</f>
        <v>2.4330869010582</v>
      </c>
      <c r="J13" s="11">
        <f t="shared" si="6"/>
        <v>1172.26289618929</v>
      </c>
      <c r="K13" s="11">
        <f t="shared" si="7"/>
        <v>988.235542441615</v>
      </c>
      <c r="L13" s="4" t="s">
        <v>353</v>
      </c>
      <c r="M13" s="19">
        <v>332.6</v>
      </c>
      <c r="N13" s="5">
        <v>2.0923</v>
      </c>
      <c r="O13" s="4">
        <v>0.0438</v>
      </c>
      <c r="P13" s="5">
        <v>0.6284</v>
      </c>
      <c r="Q13" s="4">
        <v>0.0356</v>
      </c>
      <c r="R13" s="19">
        <f t="shared" si="0"/>
        <v>332.6</v>
      </c>
      <c r="S13" s="5">
        <f t="shared" si="3"/>
        <v>0.738263939363068</v>
      </c>
      <c r="T13" s="5">
        <f t="shared" si="4"/>
        <v>-0.464578372600671</v>
      </c>
      <c r="U13" s="5">
        <f t="shared" si="1"/>
        <v>1140.32251263293</v>
      </c>
      <c r="V13" s="5">
        <f t="shared" si="2"/>
        <v>952.542596176724</v>
      </c>
      <c r="W13">
        <f t="shared" si="8"/>
        <v>8.10806289729006</v>
      </c>
      <c r="Y13">
        <f t="shared" si="9"/>
        <v>18.1317632081477</v>
      </c>
      <c r="AA13">
        <f t="shared" si="10"/>
        <v>2.09285898599554</v>
      </c>
      <c r="AC13">
        <f t="shared" si="11"/>
        <v>2.89766527365887</v>
      </c>
    </row>
    <row r="14" spans="1:29">
      <c r="A14" s="10" t="s">
        <v>354</v>
      </c>
      <c r="B14" s="20">
        <v>356.8</v>
      </c>
      <c r="C14" s="11">
        <v>14.2272</v>
      </c>
      <c r="D14" s="11">
        <v>0.22</v>
      </c>
      <c r="E14" s="11">
        <v>9.4698</v>
      </c>
      <c r="F14" s="11">
        <v>0.204</v>
      </c>
      <c r="G14" s="20">
        <f t="shared" si="5"/>
        <v>356.8</v>
      </c>
      <c r="H14" s="11">
        <f t="shared" si="12"/>
        <v>2.65515562534769</v>
      </c>
      <c r="I14" s="11">
        <f t="shared" si="13"/>
        <v>2.24810778765079</v>
      </c>
      <c r="J14" s="11">
        <f t="shared" si="6"/>
        <v>983.112893198401</v>
      </c>
      <c r="K14" s="11">
        <f t="shared" si="7"/>
        <v>821.343947675408</v>
      </c>
      <c r="L14" s="4" t="s">
        <v>355</v>
      </c>
      <c r="M14" s="19">
        <v>354.6</v>
      </c>
      <c r="N14" s="5">
        <v>1.8191</v>
      </c>
      <c r="O14" s="21">
        <v>0.038</v>
      </c>
      <c r="P14" s="5">
        <v>0.5652</v>
      </c>
      <c r="Q14" s="21">
        <v>0.031</v>
      </c>
      <c r="R14" s="19">
        <f t="shared" si="0"/>
        <v>354.6</v>
      </c>
      <c r="S14" s="5">
        <f t="shared" si="3"/>
        <v>0.598341873286033</v>
      </c>
      <c r="T14" s="5">
        <f t="shared" si="4"/>
        <v>-0.570575628171765</v>
      </c>
      <c r="U14" s="5">
        <f t="shared" si="1"/>
        <v>991.426030077218</v>
      </c>
      <c r="V14" s="5">
        <f t="shared" si="2"/>
        <v>856.742640609619</v>
      </c>
      <c r="W14">
        <f t="shared" si="8"/>
        <v>7.82101038975317</v>
      </c>
      <c r="Y14">
        <f t="shared" si="9"/>
        <v>16.7547770700637</v>
      </c>
      <c r="AA14">
        <f t="shared" si="10"/>
        <v>2.05681375206165</v>
      </c>
      <c r="AC14">
        <f t="shared" si="11"/>
        <v>2.81868341582255</v>
      </c>
    </row>
    <row r="15" spans="1:29">
      <c r="A15" s="10" t="s">
        <v>356</v>
      </c>
      <c r="B15" s="20">
        <v>378.2</v>
      </c>
      <c r="C15" s="11">
        <v>12.2043</v>
      </c>
      <c r="D15" s="11">
        <v>0.1817</v>
      </c>
      <c r="E15" s="11">
        <v>8.3739</v>
      </c>
      <c r="F15" s="11">
        <v>0.1695</v>
      </c>
      <c r="G15" s="20">
        <f t="shared" si="5"/>
        <v>378.2</v>
      </c>
      <c r="H15" s="11">
        <f t="shared" si="12"/>
        <v>2.50178834865652</v>
      </c>
      <c r="I15" s="11">
        <f t="shared" si="13"/>
        <v>2.12511972580126</v>
      </c>
      <c r="J15" s="11">
        <f t="shared" si="6"/>
        <v>843.328601724953</v>
      </c>
      <c r="K15" s="11">
        <f t="shared" si="7"/>
        <v>726.293277940305</v>
      </c>
      <c r="L15" s="4"/>
      <c r="M15" s="19"/>
      <c r="N15" s="5"/>
      <c r="O15" s="5"/>
      <c r="P15" s="5"/>
      <c r="Q15" s="5"/>
      <c r="R15" s="19"/>
      <c r="S15" s="5"/>
      <c r="T15" s="5"/>
      <c r="U15" s="5"/>
      <c r="V15" s="5"/>
    </row>
    <row r="16" spans="1:29">
      <c r="A16" s="10" t="s">
        <v>357</v>
      </c>
      <c r="B16" s="20">
        <v>402.3</v>
      </c>
      <c r="C16" s="11">
        <v>10.2335</v>
      </c>
      <c r="D16" s="11">
        <v>0.1518</v>
      </c>
      <c r="E16" s="11">
        <v>7.1346</v>
      </c>
      <c r="F16" s="11">
        <v>0.1437</v>
      </c>
      <c r="G16" s="20">
        <f t="shared" si="5"/>
        <v>402.3</v>
      </c>
      <c r="H16" s="11">
        <f t="shared" si="12"/>
        <v>2.32566665243737</v>
      </c>
      <c r="I16" s="11">
        <f t="shared" si="13"/>
        <v>1.96495618768945</v>
      </c>
      <c r="J16" s="11">
        <f t="shared" si="6"/>
        <v>707.144469224151</v>
      </c>
      <c r="K16" s="11">
        <f t="shared" si="7"/>
        <v>618.805099271892</v>
      </c>
      <c r="L16" s="4"/>
      <c r="M16" s="19"/>
      <c r="N16" s="5"/>
      <c r="O16" s="5"/>
      <c r="P16" s="5"/>
      <c r="Q16" s="5"/>
      <c r="R16" s="19"/>
      <c r="S16" s="5"/>
      <c r="T16" s="5"/>
      <c r="U16" s="5"/>
      <c r="V16" s="5"/>
    </row>
    <row r="17" spans="1:30">
      <c r="A17" s="10" t="s">
        <v>358</v>
      </c>
      <c r="B17" s="20">
        <v>426.3</v>
      </c>
      <c r="C17" s="11">
        <v>8.9811</v>
      </c>
      <c r="D17" s="11">
        <v>0.1332</v>
      </c>
      <c r="E17" s="11">
        <v>6.0797</v>
      </c>
      <c r="F17" s="11">
        <v>0.1248</v>
      </c>
      <c r="G17" s="20">
        <f t="shared" si="5"/>
        <v>426.3</v>
      </c>
      <c r="H17" s="11">
        <f t="shared" si="12"/>
        <v>2.19512236924435</v>
      </c>
      <c r="I17" s="11">
        <f t="shared" si="13"/>
        <v>1.80495535265545</v>
      </c>
      <c r="J17" s="11">
        <f t="shared" si="6"/>
        <v>620.602452000686</v>
      </c>
      <c r="K17" s="11">
        <f t="shared" si="7"/>
        <v>527.310481602798</v>
      </c>
      <c r="L17" s="4"/>
      <c r="M17" s="19"/>
      <c r="N17" s="5"/>
      <c r="O17" s="5"/>
      <c r="P17" s="5"/>
      <c r="Q17" s="5"/>
      <c r="R17" s="19"/>
      <c r="S17" s="5"/>
      <c r="T17" s="5"/>
      <c r="U17" s="5"/>
      <c r="V17" s="5"/>
    </row>
    <row r="18" spans="1:30">
      <c r="A18" s="10" t="s">
        <v>359</v>
      </c>
      <c r="B18" s="20">
        <v>450.3</v>
      </c>
      <c r="C18" s="11">
        <v>7.7064</v>
      </c>
      <c r="D18" s="11">
        <v>0.1133</v>
      </c>
      <c r="E18" s="11">
        <v>5.2838</v>
      </c>
      <c r="F18" s="11">
        <v>0.107</v>
      </c>
      <c r="G18" s="20">
        <f t="shared" si="5"/>
        <v>450.3</v>
      </c>
      <c r="H18" s="11">
        <f t="shared" si="12"/>
        <v>2.04205115246128</v>
      </c>
      <c r="I18" s="11">
        <f t="shared" si="13"/>
        <v>1.6646455358302</v>
      </c>
      <c r="J18" s="11">
        <f t="shared" si="6"/>
        <v>532.519483815801</v>
      </c>
      <c r="K18" s="11">
        <f t="shared" si="7"/>
        <v>458.279705033614</v>
      </c>
      <c r="L18" s="4"/>
      <c r="M18" s="19"/>
      <c r="N18" s="5"/>
      <c r="O18" s="5"/>
      <c r="P18" s="5"/>
      <c r="Q18" s="5"/>
      <c r="R18" s="19"/>
      <c r="S18" s="5"/>
      <c r="T18" s="5"/>
      <c r="U18" s="5"/>
      <c r="V18" s="5"/>
    </row>
    <row r="19" spans="1:30">
      <c r="A19" s="10" t="s">
        <v>360</v>
      </c>
      <c r="B19" s="20">
        <v>474.9</v>
      </c>
      <c r="C19" s="11">
        <v>6.5107</v>
      </c>
      <c r="D19" s="11">
        <v>0.0978</v>
      </c>
      <c r="E19" s="11">
        <v>4.4602</v>
      </c>
      <c r="F19" s="11">
        <v>0.0928</v>
      </c>
      <c r="G19" s="20">
        <f t="shared" si="5"/>
        <v>474.9</v>
      </c>
      <c r="H19" s="11">
        <f t="shared" si="12"/>
        <v>1.8734469773216</v>
      </c>
      <c r="I19" s="11">
        <f t="shared" si="13"/>
        <v>1.49519360807588</v>
      </c>
      <c r="J19" s="11">
        <f t="shared" si="6"/>
        <v>449.895489888863</v>
      </c>
      <c r="K19" s="11">
        <f t="shared" si="7"/>
        <v>386.846424995444</v>
      </c>
      <c r="L19" s="4"/>
      <c r="M19" s="19"/>
      <c r="N19" s="5"/>
      <c r="O19" s="5"/>
      <c r="P19" s="5"/>
      <c r="Q19" s="5"/>
      <c r="R19" s="19"/>
      <c r="S19" s="5"/>
      <c r="T19" s="5"/>
      <c r="U19" s="5"/>
      <c r="V19" s="5"/>
    </row>
    <row r="20" spans="1:30">
      <c r="A20" s="10" t="s">
        <v>361</v>
      </c>
      <c r="B20" s="20">
        <v>498.3</v>
      </c>
      <c r="C20" s="11">
        <v>5.6954</v>
      </c>
      <c r="D20" s="11">
        <v>0.0846</v>
      </c>
      <c r="E20" s="11">
        <v>3.854</v>
      </c>
      <c r="F20" s="11">
        <v>0.0795</v>
      </c>
      <c r="G20" s="20">
        <f t="shared" si="5"/>
        <v>498.3</v>
      </c>
      <c r="H20" s="11">
        <f t="shared" si="12"/>
        <v>1.73965883148268</v>
      </c>
      <c r="I20" s="11">
        <f t="shared" si="13"/>
        <v>1.34911156999217</v>
      </c>
      <c r="J20" s="11">
        <f t="shared" si="6"/>
        <v>393.557493528043</v>
      </c>
      <c r="K20" s="11">
        <f t="shared" si="7"/>
        <v>334.268894204843</v>
      </c>
      <c r="L20" s="4"/>
      <c r="M20" s="19"/>
      <c r="N20" s="5"/>
      <c r="O20" s="5"/>
      <c r="P20" s="5"/>
      <c r="Q20" s="5"/>
      <c r="R20" s="19"/>
      <c r="S20" s="5"/>
      <c r="T20" s="5"/>
      <c r="U20" s="5"/>
      <c r="V20" s="5"/>
      <c r="X20">
        <f t="shared" ref="X20:AB20" si="14">AVERAGE(W12:W14)</f>
        <v>7.88714433057572</v>
      </c>
      <c r="Z20">
        <f t="shared" si="14"/>
        <v>17.4768828460458</v>
      </c>
      <c r="AB20">
        <f t="shared" si="14"/>
        <v>2.06502893995962</v>
      </c>
      <c r="AD20">
        <f>AVERAGE(AC12:AC14)</f>
        <v>2.86035562378146</v>
      </c>
    </row>
    <row r="21" spans="1:30">
      <c r="A21" s="10" t="s">
        <v>362</v>
      </c>
      <c r="B21" s="20">
        <v>522.4</v>
      </c>
      <c r="C21" s="11">
        <v>4.7773</v>
      </c>
      <c r="D21" s="11">
        <v>0.0699</v>
      </c>
      <c r="E21" s="11">
        <v>3.3051</v>
      </c>
      <c r="F21" s="11">
        <v>0.0665</v>
      </c>
      <c r="G21" s="20">
        <f t="shared" si="5"/>
        <v>522.4</v>
      </c>
      <c r="H21" s="11">
        <f t="shared" si="12"/>
        <v>1.56387553335701</v>
      </c>
      <c r="I21" s="11">
        <f t="shared" si="13"/>
        <v>1.19546673003199</v>
      </c>
      <c r="J21" s="11">
        <f t="shared" si="6"/>
        <v>330.115920537894</v>
      </c>
      <c r="K21" s="11">
        <f t="shared" si="7"/>
        <v>286.661163008933</v>
      </c>
      <c r="L21" s="12"/>
    </row>
    <row r="22" spans="1:30">
      <c r="A22" s="10" t="s">
        <v>363</v>
      </c>
      <c r="B22" s="20">
        <v>546.4</v>
      </c>
      <c r="C22" s="11">
        <v>4.0492</v>
      </c>
      <c r="D22" s="11">
        <v>0.0626</v>
      </c>
      <c r="E22" s="11">
        <v>2.7724</v>
      </c>
      <c r="F22" s="11">
        <v>0.0597</v>
      </c>
      <c r="G22" s="20">
        <f t="shared" si="5"/>
        <v>546.4</v>
      </c>
      <c r="H22" s="11">
        <f t="shared" si="12"/>
        <v>1.39851933074246</v>
      </c>
      <c r="I22" s="11">
        <f t="shared" si="13"/>
        <v>1.01971337106169</v>
      </c>
      <c r="J22" s="11">
        <f t="shared" si="6"/>
        <v>279.803526142809</v>
      </c>
      <c r="K22" s="11">
        <f t="shared" si="7"/>
        <v>240.458506043982</v>
      </c>
      <c r="L22" s="12"/>
    </row>
    <row r="23" spans="1:30">
      <c r="A23" s="10" t="s">
        <v>364</v>
      </c>
      <c r="B23" s="20">
        <v>571.3</v>
      </c>
      <c r="C23" s="11">
        <v>3.4337</v>
      </c>
      <c r="D23" s="11">
        <v>0.053</v>
      </c>
      <c r="E23" s="11">
        <v>2.4624</v>
      </c>
      <c r="F23" s="11">
        <v>0.0514</v>
      </c>
      <c r="G23" s="20">
        <f t="shared" si="5"/>
        <v>571.3</v>
      </c>
      <c r="H23" s="11">
        <f t="shared" si="12"/>
        <v>1.23363839698169</v>
      </c>
      <c r="I23" s="11">
        <f t="shared" si="13"/>
        <v>0.901136484102478</v>
      </c>
      <c r="J23" s="11">
        <f t="shared" si="6"/>
        <v>237.271897588798</v>
      </c>
      <c r="K23" s="11">
        <f t="shared" si="7"/>
        <v>213.571283105866</v>
      </c>
      <c r="L23" s="12"/>
    </row>
    <row r="24" spans="1:30">
      <c r="A24" s="10" t="s">
        <v>365</v>
      </c>
      <c r="B24" s="20">
        <v>594.6</v>
      </c>
      <c r="C24" s="11">
        <v>2.9899</v>
      </c>
      <c r="D24" s="11">
        <v>0.047</v>
      </c>
      <c r="E24" s="11">
        <v>1.9739</v>
      </c>
      <c r="F24" s="11">
        <v>0.0453</v>
      </c>
      <c r="G24" s="20">
        <f t="shared" si="5"/>
        <v>594.6</v>
      </c>
      <c r="H24" s="11">
        <f t="shared" si="12"/>
        <v>1.09523994202725</v>
      </c>
      <c r="I24" s="11">
        <f t="shared" si="13"/>
        <v>0.680011281166805</v>
      </c>
      <c r="J24" s="11">
        <f t="shared" si="6"/>
        <v>206.604900428327</v>
      </c>
      <c r="K24" s="11">
        <f t="shared" si="7"/>
        <v>171.202223734027</v>
      </c>
      <c r="L24" s="13" t="s">
        <v>366</v>
      </c>
      <c r="M24" s="22">
        <v>598.3</v>
      </c>
      <c r="N24" s="7">
        <v>30.3295</v>
      </c>
      <c r="O24" s="7">
        <v>0.3876</v>
      </c>
      <c r="P24" s="7">
        <v>26.2947</v>
      </c>
      <c r="Q24" s="7">
        <v>0.3746</v>
      </c>
      <c r="R24" s="22">
        <f t="shared" ref="R24:R42" si="15">M24</f>
        <v>598.3</v>
      </c>
      <c r="S24" s="7">
        <f>LN(N24)</f>
        <v>3.41212083623655</v>
      </c>
      <c r="T24" s="7">
        <f>LN(P24)</f>
        <v>3.2693673979631</v>
      </c>
      <c r="U24" s="7">
        <f t="shared" ref="U24:U42" si="16">N24*$X$42*$X$49</f>
        <v>200.625685917636</v>
      </c>
      <c r="V24" s="7">
        <f t="shared" ref="V24:V42" si="17">P24*$Z$42*$Z$49</f>
        <v>172.764704240767</v>
      </c>
      <c r="W24">
        <f t="shared" ref="W24:W29" si="18">N24/C24</f>
        <v>10.1439847486538</v>
      </c>
      <c r="Y24">
        <f t="shared" ref="Y24:Y29" si="19">P24/E24</f>
        <v>13.3211915497239</v>
      </c>
      <c r="AA24">
        <f t="shared" ref="AA24:AA29" si="20">LN(N24)-LN(C24)</f>
        <v>2.3168808942093</v>
      </c>
      <c r="AC24">
        <f t="shared" ref="AC24:AC29" si="21">LN(P24)-LN(E24)</f>
        <v>2.5893561167963</v>
      </c>
    </row>
    <row r="25" spans="1:30">
      <c r="A25" s="10" t="s">
        <v>367</v>
      </c>
      <c r="B25" s="20">
        <v>620.9</v>
      </c>
      <c r="C25" s="11">
        <v>2.54</v>
      </c>
      <c r="D25" s="11">
        <v>0.0433</v>
      </c>
      <c r="E25" s="11">
        <v>1.7432</v>
      </c>
      <c r="F25" s="11">
        <v>0.0428</v>
      </c>
      <c r="G25" s="20">
        <f t="shared" si="5"/>
        <v>620.9</v>
      </c>
      <c r="H25" s="11">
        <f t="shared" si="12"/>
        <v>0.932164081030445</v>
      </c>
      <c r="I25" s="11">
        <f t="shared" si="13"/>
        <v>0.555722504648273</v>
      </c>
      <c r="J25" s="11">
        <f t="shared" si="6"/>
        <v>175.516387534015</v>
      </c>
      <c r="K25" s="11">
        <f t="shared" si="7"/>
        <v>151.192925889435</v>
      </c>
      <c r="L25" s="13" t="s">
        <v>368</v>
      </c>
      <c r="M25" s="22">
        <v>619.2</v>
      </c>
      <c r="N25" s="7">
        <v>26.7741</v>
      </c>
      <c r="O25" s="7">
        <v>0.3019</v>
      </c>
      <c r="P25" s="7">
        <v>23.3924</v>
      </c>
      <c r="Q25" s="7">
        <v>0.2922</v>
      </c>
      <c r="R25" s="22">
        <f t="shared" si="15"/>
        <v>619.2</v>
      </c>
      <c r="S25" s="7">
        <f t="shared" ref="S25:S42" si="22">LN(N25)</f>
        <v>3.28743500232349</v>
      </c>
      <c r="T25" s="7">
        <f t="shared" ref="T25:T42" si="23">LN(P25)</f>
        <v>3.15241118328437</v>
      </c>
      <c r="U25" s="7">
        <f t="shared" si="16"/>
        <v>177.107178731182</v>
      </c>
      <c r="V25" s="7">
        <f t="shared" si="17"/>
        <v>153.695652260026</v>
      </c>
      <c r="W25">
        <f t="shared" si="18"/>
        <v>10.5409842519685</v>
      </c>
      <c r="Y25">
        <f t="shared" si="19"/>
        <v>13.4192290041303</v>
      </c>
      <c r="AA25">
        <f t="shared" si="20"/>
        <v>2.35527092129304</v>
      </c>
      <c r="AC25">
        <f t="shared" si="21"/>
        <v>2.59668867863609</v>
      </c>
    </row>
    <row r="26" spans="1:30">
      <c r="A26" s="10" t="s">
        <v>369</v>
      </c>
      <c r="B26" s="20">
        <v>647.5</v>
      </c>
      <c r="C26" s="11">
        <v>2.0677</v>
      </c>
      <c r="D26" s="11">
        <v>0.0392</v>
      </c>
      <c r="E26" s="11">
        <v>1.5085</v>
      </c>
      <c r="F26" s="11">
        <v>0.0393</v>
      </c>
      <c r="G26" s="20">
        <f t="shared" si="5"/>
        <v>647.5</v>
      </c>
      <c r="H26" s="11">
        <f t="shared" si="12"/>
        <v>0.726436878424587</v>
      </c>
      <c r="I26" s="11">
        <f t="shared" si="13"/>
        <v>0.411115779616979</v>
      </c>
      <c r="J26" s="11">
        <f t="shared" si="6"/>
        <v>142.880013584285</v>
      </c>
      <c r="K26" s="11">
        <f t="shared" si="7"/>
        <v>130.836696135964</v>
      </c>
      <c r="L26" s="13" t="s">
        <v>370</v>
      </c>
      <c r="M26" s="22">
        <v>645.2</v>
      </c>
      <c r="N26" s="7">
        <v>21.8042</v>
      </c>
      <c r="O26" s="7">
        <v>0.2327</v>
      </c>
      <c r="P26" s="7">
        <v>19.8295</v>
      </c>
      <c r="Q26" s="7">
        <v>0.2293</v>
      </c>
      <c r="R26" s="22">
        <f t="shared" si="15"/>
        <v>645.2</v>
      </c>
      <c r="S26" s="7">
        <f t="shared" si="22"/>
        <v>3.08210261178884</v>
      </c>
      <c r="T26" s="7">
        <f t="shared" si="23"/>
        <v>2.98717072789208</v>
      </c>
      <c r="U26" s="7">
        <f t="shared" si="16"/>
        <v>144.231938570874</v>
      </c>
      <c r="V26" s="7">
        <f t="shared" si="17"/>
        <v>130.286244100229</v>
      </c>
      <c r="W26">
        <f t="shared" si="18"/>
        <v>10.545146781448</v>
      </c>
      <c r="Y26">
        <f t="shared" si="19"/>
        <v>13.145177328472</v>
      </c>
      <c r="AA26">
        <f t="shared" si="20"/>
        <v>2.35566573336425</v>
      </c>
      <c r="AC26">
        <f t="shared" si="21"/>
        <v>2.5760549482751</v>
      </c>
    </row>
    <row r="27" spans="1:30">
      <c r="A27" s="10" t="s">
        <v>371</v>
      </c>
      <c r="B27" s="20">
        <v>669.5</v>
      </c>
      <c r="C27" s="11">
        <v>1.7842</v>
      </c>
      <c r="D27" s="11">
        <v>0.0278</v>
      </c>
      <c r="E27" s="11">
        <v>1.309</v>
      </c>
      <c r="F27" s="11">
        <v>0.0278</v>
      </c>
      <c r="G27" s="20">
        <f t="shared" si="5"/>
        <v>669.5</v>
      </c>
      <c r="H27" s="11">
        <f t="shared" si="12"/>
        <v>0.578970135497546</v>
      </c>
      <c r="I27" s="11">
        <f t="shared" si="13"/>
        <v>0.269263486927763</v>
      </c>
      <c r="J27" s="11">
        <f t="shared" si="6"/>
        <v>123.28989710165</v>
      </c>
      <c r="K27" s="11">
        <f t="shared" si="7"/>
        <v>113.533467180628</v>
      </c>
      <c r="L27" s="13" t="s">
        <v>371</v>
      </c>
      <c r="M27" s="22">
        <v>666.6</v>
      </c>
      <c r="N27" s="7">
        <v>18.4</v>
      </c>
      <c r="O27" s="7">
        <v>0.2154</v>
      </c>
      <c r="P27" s="7">
        <v>16.9244</v>
      </c>
      <c r="Q27" s="7">
        <v>0.2154</v>
      </c>
      <c r="R27" s="22">
        <f t="shared" si="15"/>
        <v>666.6</v>
      </c>
      <c r="S27" s="7">
        <f t="shared" si="22"/>
        <v>2.91235066461494</v>
      </c>
      <c r="T27" s="7">
        <f t="shared" si="23"/>
        <v>2.82875636765297</v>
      </c>
      <c r="U27" s="7">
        <f t="shared" si="16"/>
        <v>121.713599659886</v>
      </c>
      <c r="V27" s="7">
        <f t="shared" si="17"/>
        <v>111.198795211675</v>
      </c>
      <c r="W27">
        <f t="shared" si="18"/>
        <v>10.3127452079363</v>
      </c>
      <c r="Y27">
        <f t="shared" si="19"/>
        <v>12.9292589763178</v>
      </c>
      <c r="AA27">
        <f t="shared" si="20"/>
        <v>2.33338052911739</v>
      </c>
      <c r="AC27">
        <f t="shared" si="21"/>
        <v>2.5594928807252</v>
      </c>
    </row>
    <row r="28" spans="1:30">
      <c r="A28" s="10" t="s">
        <v>372</v>
      </c>
      <c r="B28" s="20">
        <v>690.8</v>
      </c>
      <c r="C28" s="11">
        <v>1.4321</v>
      </c>
      <c r="D28" s="11">
        <v>0.0334</v>
      </c>
      <c r="E28" s="11">
        <v>1.1077</v>
      </c>
      <c r="F28" s="11">
        <v>0.0349</v>
      </c>
      <c r="G28" s="20">
        <f t="shared" si="5"/>
        <v>690.8</v>
      </c>
      <c r="H28" s="11">
        <f t="shared" si="12"/>
        <v>0.35914189850252</v>
      </c>
      <c r="I28" s="11">
        <f t="shared" si="13"/>
        <v>0.10228579354075</v>
      </c>
      <c r="J28" s="11">
        <f t="shared" si="6"/>
        <v>98.9594561367965</v>
      </c>
      <c r="K28" s="11">
        <f t="shared" si="7"/>
        <v>96.074118866296</v>
      </c>
      <c r="L28" s="13" t="s">
        <v>373</v>
      </c>
      <c r="M28" s="22">
        <v>693.3</v>
      </c>
      <c r="N28" s="7">
        <v>15.863</v>
      </c>
      <c r="O28" s="7">
        <v>0.1758</v>
      </c>
      <c r="P28" s="7">
        <v>14.5722</v>
      </c>
      <c r="Q28" s="7">
        <v>0.1754</v>
      </c>
      <c r="R28" s="22">
        <f t="shared" si="15"/>
        <v>693.3</v>
      </c>
      <c r="S28" s="7">
        <f t="shared" si="22"/>
        <v>2.76398935342632</v>
      </c>
      <c r="T28" s="7">
        <f t="shared" si="23"/>
        <v>2.67911560400409</v>
      </c>
      <c r="U28" s="7">
        <f t="shared" si="16"/>
        <v>104.931675619824</v>
      </c>
      <c r="V28" s="7">
        <f t="shared" si="17"/>
        <v>95.7440785837944</v>
      </c>
      <c r="W28">
        <f t="shared" si="18"/>
        <v>11.0767404510858</v>
      </c>
      <c r="Y28">
        <f t="shared" si="19"/>
        <v>13.1553669766182</v>
      </c>
      <c r="AA28">
        <f t="shared" si="20"/>
        <v>2.4048474549238</v>
      </c>
      <c r="AC28">
        <f t="shared" si="21"/>
        <v>2.57682981046334</v>
      </c>
    </row>
    <row r="29" spans="1:30">
      <c r="A29" s="10" t="s">
        <v>374</v>
      </c>
      <c r="B29" s="20">
        <v>716.7</v>
      </c>
      <c r="C29" s="11">
        <v>1.374</v>
      </c>
      <c r="D29" s="11">
        <v>0.0324</v>
      </c>
      <c r="E29" s="11">
        <v>0.91</v>
      </c>
      <c r="F29" s="11">
        <v>0.0321</v>
      </c>
      <c r="G29" s="20">
        <f t="shared" si="5"/>
        <v>716.7</v>
      </c>
      <c r="H29" s="11">
        <f t="shared" si="12"/>
        <v>0.317726193800158</v>
      </c>
      <c r="I29" s="11">
        <f t="shared" si="13"/>
        <v>-0.0943106794712413</v>
      </c>
      <c r="J29" s="11">
        <f t="shared" si="6"/>
        <v>94.9446915243058</v>
      </c>
      <c r="K29" s="11">
        <f t="shared" si="7"/>
        <v>78.9270092699552</v>
      </c>
      <c r="L29" s="13" t="s">
        <v>375</v>
      </c>
      <c r="M29" s="22">
        <v>714.2</v>
      </c>
      <c r="N29" s="7">
        <v>13.82</v>
      </c>
      <c r="O29" s="7">
        <v>0.1997</v>
      </c>
      <c r="P29" s="7">
        <v>12.043</v>
      </c>
      <c r="Q29" s="7">
        <v>0.1986</v>
      </c>
      <c r="R29" s="22">
        <f t="shared" si="15"/>
        <v>714.2</v>
      </c>
      <c r="S29" s="7">
        <f t="shared" si="22"/>
        <v>2.62611681833952</v>
      </c>
      <c r="T29" s="7">
        <f t="shared" si="23"/>
        <v>2.48848357827834</v>
      </c>
      <c r="U29" s="7">
        <f t="shared" si="16"/>
        <v>91.4174971358488</v>
      </c>
      <c r="V29" s="7">
        <f t="shared" si="17"/>
        <v>79.1264145691547</v>
      </c>
      <c r="W29">
        <f t="shared" si="18"/>
        <v>10.0582241630277</v>
      </c>
      <c r="X29">
        <f t="shared" ref="X29:AB29" si="24">AVERAGE(W24:W29)</f>
        <v>10.4463042673533</v>
      </c>
      <c r="Y29">
        <f t="shared" si="19"/>
        <v>13.2340659340659</v>
      </c>
      <c r="Z29">
        <f t="shared" si="24"/>
        <v>13.2007149615547</v>
      </c>
      <c r="AA29">
        <f t="shared" si="20"/>
        <v>2.30839062453937</v>
      </c>
      <c r="AB29">
        <f t="shared" si="24"/>
        <v>2.34573935957453</v>
      </c>
      <c r="AC29">
        <f t="shared" si="21"/>
        <v>2.58279425774958</v>
      </c>
      <c r="AD29">
        <f>AVERAGE(AC24:AC29)</f>
        <v>2.58020278210761</v>
      </c>
    </row>
    <row r="30" spans="1:30">
      <c r="L30" s="13" t="s">
        <v>376</v>
      </c>
      <c r="M30" s="22">
        <v>740.4</v>
      </c>
      <c r="N30" s="7">
        <v>11.3293</v>
      </c>
      <c r="O30" s="7">
        <v>0.1699</v>
      </c>
      <c r="P30" s="7">
        <v>10.6485</v>
      </c>
      <c r="Q30" s="7">
        <v>0.1726</v>
      </c>
      <c r="R30" s="22">
        <f t="shared" si="15"/>
        <v>740.4</v>
      </c>
      <c r="S30" s="7">
        <f t="shared" si="22"/>
        <v>2.42739229025396</v>
      </c>
      <c r="T30" s="7">
        <f t="shared" si="23"/>
        <v>2.36541903716541</v>
      </c>
      <c r="U30" s="7">
        <f t="shared" si="16"/>
        <v>74.9418415558011</v>
      </c>
      <c r="V30" s="7">
        <f t="shared" si="17"/>
        <v>69.9640974457896</v>
      </c>
    </row>
    <row r="31" spans="1:30">
      <c r="L31" s="13" t="s">
        <v>377</v>
      </c>
      <c r="M31" s="22">
        <v>762.5</v>
      </c>
      <c r="N31" s="7">
        <v>9.7385</v>
      </c>
      <c r="O31" s="7">
        <v>0.1476</v>
      </c>
      <c r="P31" s="7">
        <v>9.0376</v>
      </c>
      <c r="Q31" s="7">
        <v>0.1507</v>
      </c>
      <c r="R31" s="22">
        <f t="shared" si="15"/>
        <v>762.5</v>
      </c>
      <c r="S31" s="7">
        <f t="shared" si="22"/>
        <v>2.27608710168782</v>
      </c>
      <c r="T31" s="7">
        <f t="shared" si="23"/>
        <v>2.20139365243058</v>
      </c>
      <c r="U31" s="7">
        <f t="shared" si="16"/>
        <v>64.4189070808584</v>
      </c>
      <c r="V31" s="7">
        <f t="shared" si="17"/>
        <v>59.3799621614376</v>
      </c>
    </row>
    <row r="32" spans="1:30">
      <c r="L32" s="13" t="s">
        <v>378</v>
      </c>
      <c r="M32" s="22">
        <v>786.4</v>
      </c>
      <c r="N32" s="7">
        <v>8.2508</v>
      </c>
      <c r="O32" s="7">
        <v>0.1325</v>
      </c>
      <c r="P32" s="7">
        <v>7.776</v>
      </c>
      <c r="Q32" s="7">
        <v>0.1365</v>
      </c>
      <c r="R32" s="22">
        <f t="shared" si="15"/>
        <v>786.4</v>
      </c>
      <c r="S32" s="7">
        <f t="shared" si="22"/>
        <v>2.1103101653423</v>
      </c>
      <c r="T32" s="7">
        <f t="shared" si="23"/>
        <v>2.05104206715814</v>
      </c>
      <c r="U32" s="7">
        <f t="shared" si="16"/>
        <v>54.5779656561839</v>
      </c>
      <c r="V32" s="7">
        <f t="shared" si="17"/>
        <v>51.0908411267746</v>
      </c>
    </row>
    <row r="33" spans="1:30">
      <c r="L33" s="13" t="s">
        <v>379</v>
      </c>
      <c r="M33" s="22">
        <v>811</v>
      </c>
      <c r="N33" s="7">
        <v>7.2489</v>
      </c>
      <c r="O33" s="7">
        <v>0.1209</v>
      </c>
      <c r="P33" s="7">
        <v>6.9282</v>
      </c>
      <c r="Q33" s="7">
        <v>0.1256</v>
      </c>
      <c r="R33" s="22">
        <f t="shared" si="15"/>
        <v>811</v>
      </c>
      <c r="S33" s="7">
        <f t="shared" si="22"/>
        <v>1.98084973321738</v>
      </c>
      <c r="T33" s="7">
        <f t="shared" si="23"/>
        <v>1.93560003920373</v>
      </c>
      <c r="U33" s="7">
        <f t="shared" si="16"/>
        <v>47.9505278573122</v>
      </c>
      <c r="V33" s="7">
        <f t="shared" si="17"/>
        <v>45.5205202539249</v>
      </c>
    </row>
    <row r="34" spans="1:30">
      <c r="L34" s="13" t="s">
        <v>380</v>
      </c>
      <c r="M34" s="22">
        <v>834.2</v>
      </c>
      <c r="N34" s="7">
        <v>6.553</v>
      </c>
      <c r="O34" s="7">
        <v>0.1199</v>
      </c>
      <c r="P34" s="7">
        <v>5.7106</v>
      </c>
      <c r="Q34" s="7">
        <v>0.1214</v>
      </c>
      <c r="R34" s="22">
        <f t="shared" si="15"/>
        <v>834.2</v>
      </c>
      <c r="S34" s="7">
        <f t="shared" si="22"/>
        <v>1.87992296005736</v>
      </c>
      <c r="T34" s="7">
        <f t="shared" si="23"/>
        <v>1.74232409695663</v>
      </c>
      <c r="U34" s="7">
        <f t="shared" si="16"/>
        <v>43.3472401397408</v>
      </c>
      <c r="V34" s="7">
        <f t="shared" si="17"/>
        <v>37.520493484897</v>
      </c>
    </row>
    <row r="35" spans="1:30">
      <c r="L35" s="13" t="s">
        <v>381</v>
      </c>
      <c r="M35" s="22">
        <v>858.4</v>
      </c>
      <c r="N35" s="7">
        <v>5.6075</v>
      </c>
      <c r="O35" s="7">
        <v>0.107</v>
      </c>
      <c r="P35" s="7">
        <v>4.8426</v>
      </c>
      <c r="Q35" s="7">
        <v>0.1072</v>
      </c>
      <c r="R35" s="22">
        <f t="shared" si="15"/>
        <v>858.4</v>
      </c>
      <c r="S35" s="7">
        <f t="shared" si="22"/>
        <v>1.72410498741223</v>
      </c>
      <c r="T35" s="7">
        <f t="shared" si="23"/>
        <v>1.57745176657624</v>
      </c>
      <c r="U35" s="7">
        <f t="shared" si="16"/>
        <v>37.0928809833048</v>
      </c>
      <c r="V35" s="7">
        <f t="shared" si="17"/>
        <v>31.8174520628239</v>
      </c>
    </row>
    <row r="36" spans="1:30">
      <c r="L36" s="13" t="s">
        <v>382</v>
      </c>
      <c r="M36" s="22">
        <v>884.2</v>
      </c>
      <c r="N36" s="7">
        <v>4.418</v>
      </c>
      <c r="O36" s="7">
        <v>0.0946</v>
      </c>
      <c r="P36" s="7">
        <v>4.2218</v>
      </c>
      <c r="Q36" s="7">
        <v>0.0991</v>
      </c>
      <c r="R36" s="22">
        <f t="shared" si="15"/>
        <v>884.2</v>
      </c>
      <c r="S36" s="7">
        <f t="shared" si="22"/>
        <v>1.48568710499793</v>
      </c>
      <c r="T36" s="7">
        <f t="shared" si="23"/>
        <v>1.44026157738983</v>
      </c>
      <c r="U36" s="7">
        <f t="shared" si="16"/>
        <v>29.224493657466</v>
      </c>
      <c r="V36" s="7">
        <f t="shared" si="17"/>
        <v>27.7385947876822</v>
      </c>
    </row>
    <row r="37" spans="1:30">
      <c r="L37" s="13" t="s">
        <v>383</v>
      </c>
      <c r="M37" s="22">
        <v>910.3</v>
      </c>
      <c r="N37" s="7">
        <v>3.7619</v>
      </c>
      <c r="O37" s="7">
        <v>0.0727</v>
      </c>
      <c r="P37" s="7">
        <v>3.508</v>
      </c>
      <c r="Q37" s="7">
        <v>0.0764</v>
      </c>
      <c r="R37" s="22">
        <f t="shared" si="15"/>
        <v>910.3</v>
      </c>
      <c r="S37" s="7">
        <f t="shared" si="22"/>
        <v>1.32492414892001</v>
      </c>
      <c r="T37" s="7">
        <f t="shared" si="23"/>
        <v>1.25504607450994</v>
      </c>
      <c r="U37" s="7">
        <f t="shared" si="16"/>
        <v>24.8844777478545</v>
      </c>
      <c r="V37" s="7">
        <f t="shared" si="17"/>
        <v>23.0486973601756</v>
      </c>
    </row>
    <row r="38" spans="1:30">
      <c r="L38" s="13" t="s">
        <v>384</v>
      </c>
      <c r="M38" s="22">
        <v>930.5</v>
      </c>
      <c r="N38" s="7">
        <v>3.2428</v>
      </c>
      <c r="O38" s="7">
        <v>0.0677</v>
      </c>
      <c r="P38" s="7">
        <v>3.1552</v>
      </c>
      <c r="Q38" s="7">
        <v>0.0724</v>
      </c>
      <c r="R38" s="22">
        <f t="shared" si="15"/>
        <v>930.5</v>
      </c>
      <c r="S38" s="7">
        <f t="shared" si="22"/>
        <v>1.17643715413142</v>
      </c>
      <c r="T38" s="7">
        <f t="shared" si="23"/>
        <v>1.14905188542618</v>
      </c>
      <c r="U38" s="7">
        <f t="shared" si="16"/>
        <v>21.4506989661455</v>
      </c>
      <c r="V38" s="7">
        <f t="shared" si="17"/>
        <v>20.7306869757201</v>
      </c>
    </row>
    <row r="39" spans="1:30">
      <c r="A39" s="14" t="s">
        <v>385</v>
      </c>
      <c r="B39" s="23">
        <v>955.9</v>
      </c>
      <c r="C39" s="8">
        <v>8.2388</v>
      </c>
      <c r="D39" s="8">
        <v>0.1603</v>
      </c>
      <c r="E39" s="8">
        <v>8.2689</v>
      </c>
      <c r="F39" s="8">
        <v>0.174</v>
      </c>
      <c r="G39" s="23">
        <f t="shared" ref="G39:G49" si="25">B39</f>
        <v>955.9</v>
      </c>
      <c r="H39" s="8">
        <f>LN(C39)</f>
        <v>2.10885470224819</v>
      </c>
      <c r="I39" s="8">
        <f>LN(E39)</f>
        <v>2.11250148930616</v>
      </c>
      <c r="J39" s="8">
        <f t="shared" ref="J39:J49" si="26">C39*$X$49</f>
        <v>18.6065758661973</v>
      </c>
      <c r="K39" s="8">
        <f t="shared" ref="K39:K49" si="27">E39*$Z$49</f>
        <v>18.1034972230811</v>
      </c>
      <c r="L39" s="13" t="s">
        <v>386</v>
      </c>
      <c r="M39" s="22">
        <v>954.6</v>
      </c>
      <c r="N39" s="7">
        <v>2.9527</v>
      </c>
      <c r="O39" s="7">
        <v>0.0628</v>
      </c>
      <c r="P39" s="7">
        <v>2.6833</v>
      </c>
      <c r="Q39" s="7">
        <v>0.0664</v>
      </c>
      <c r="R39" s="22">
        <f t="shared" si="15"/>
        <v>954.6</v>
      </c>
      <c r="S39" s="7">
        <f t="shared" si="22"/>
        <v>1.08272000599925</v>
      </c>
      <c r="T39" s="7">
        <f t="shared" si="23"/>
        <v>0.987047380324956</v>
      </c>
      <c r="U39" s="7">
        <f t="shared" si="16"/>
        <v>19.5317253106383</v>
      </c>
      <c r="V39" s="7">
        <f t="shared" si="17"/>
        <v>17.6301509767843</v>
      </c>
      <c r="W39">
        <f t="shared" ref="W39:W42" si="28">C39/N39</f>
        <v>2.7902597622515</v>
      </c>
      <c r="Y39">
        <f t="shared" ref="Y39:Y42" si="29">E39/P39</f>
        <v>3.08161592069467</v>
      </c>
      <c r="AA39">
        <f t="shared" ref="AA39:AA42" si="30">LN(C39)-LN(N39)</f>
        <v>1.02613469624894</v>
      </c>
      <c r="AC39">
        <f t="shared" ref="AC39:AC42" si="31">LN(E39)-LN(P39)</f>
        <v>1.1254541089812</v>
      </c>
    </row>
    <row r="40" spans="1:30">
      <c r="A40" s="14" t="s">
        <v>387</v>
      </c>
      <c r="B40" s="23">
        <v>978.5</v>
      </c>
      <c r="C40" s="8">
        <v>7.4684</v>
      </c>
      <c r="D40" s="8">
        <v>0.147</v>
      </c>
      <c r="E40" s="8">
        <v>6.6622</v>
      </c>
      <c r="F40" s="8">
        <v>0.1527</v>
      </c>
      <c r="G40" s="23">
        <f t="shared" si="25"/>
        <v>978.5</v>
      </c>
      <c r="H40" s="8">
        <f t="shared" ref="H40:H49" si="32">LN(C40)</f>
        <v>2.01068078610904</v>
      </c>
      <c r="I40" s="8">
        <f t="shared" ref="I40:I49" si="33">LN(E40)</f>
        <v>1.89644976033558</v>
      </c>
      <c r="J40" s="8">
        <f t="shared" si="26"/>
        <v>16.8666979656149</v>
      </c>
      <c r="K40" s="8">
        <f t="shared" si="27"/>
        <v>14.5858722683321</v>
      </c>
      <c r="L40" s="13" t="s">
        <v>388</v>
      </c>
      <c r="M40" s="22">
        <v>980.4</v>
      </c>
      <c r="N40" s="7">
        <v>2.4731</v>
      </c>
      <c r="O40" s="7">
        <v>0.0522</v>
      </c>
      <c r="P40" s="7">
        <v>2.1991</v>
      </c>
      <c r="Q40" s="7">
        <v>0.0553</v>
      </c>
      <c r="R40" s="22">
        <f t="shared" si="15"/>
        <v>980.4</v>
      </c>
      <c r="S40" s="7">
        <f t="shared" si="22"/>
        <v>0.905472424438276</v>
      </c>
      <c r="T40" s="7">
        <f t="shared" si="23"/>
        <v>0.788048185754665</v>
      </c>
      <c r="U40" s="7">
        <f t="shared" si="16"/>
        <v>16.3592338760252</v>
      </c>
      <c r="V40" s="7">
        <f t="shared" si="17"/>
        <v>14.448799989955</v>
      </c>
      <c r="W40">
        <f t="shared" si="28"/>
        <v>3.01985362500505</v>
      </c>
      <c r="Y40">
        <f t="shared" si="29"/>
        <v>3.02951207312082</v>
      </c>
      <c r="AA40">
        <f t="shared" si="30"/>
        <v>1.10520836167077</v>
      </c>
      <c r="AC40">
        <f t="shared" si="31"/>
        <v>1.10840157458091</v>
      </c>
    </row>
    <row r="41" spans="1:30">
      <c r="A41" s="14" t="s">
        <v>389</v>
      </c>
      <c r="B41" s="23">
        <v>1004.6</v>
      </c>
      <c r="C41" s="8">
        <v>6.2974</v>
      </c>
      <c r="D41" s="8">
        <v>0.138</v>
      </c>
      <c r="E41" s="8">
        <v>5.888</v>
      </c>
      <c r="F41" s="8">
        <v>0.1471</v>
      </c>
      <c r="G41" s="23">
        <f t="shared" si="25"/>
        <v>1004.6</v>
      </c>
      <c r="H41" s="8">
        <f t="shared" si="32"/>
        <v>1.84013684980136</v>
      </c>
      <c r="I41" s="8">
        <f t="shared" si="33"/>
        <v>1.77291638142658</v>
      </c>
      <c r="J41" s="8">
        <f t="shared" si="26"/>
        <v>14.2221016239976</v>
      </c>
      <c r="K41" s="8">
        <f t="shared" si="27"/>
        <v>12.8908792765061</v>
      </c>
      <c r="L41" s="13" t="s">
        <v>390</v>
      </c>
      <c r="M41" s="22">
        <v>1002.7</v>
      </c>
      <c r="N41" s="7">
        <v>2.0798</v>
      </c>
      <c r="O41" s="7">
        <v>0.0479</v>
      </c>
      <c r="P41" s="7">
        <v>1.9499</v>
      </c>
      <c r="Q41" s="7">
        <v>0.0516</v>
      </c>
      <c r="R41" s="22">
        <f t="shared" si="15"/>
        <v>1002.7</v>
      </c>
      <c r="S41" s="7">
        <f t="shared" si="22"/>
        <v>0.732271735243995</v>
      </c>
      <c r="T41" s="7">
        <f t="shared" si="23"/>
        <v>0.667778089209404</v>
      </c>
      <c r="U41" s="7">
        <f t="shared" si="16"/>
        <v>13.7576056832951</v>
      </c>
      <c r="V41" s="7">
        <f t="shared" si="17"/>
        <v>12.8114751945856</v>
      </c>
      <c r="W41">
        <f t="shared" si="28"/>
        <v>3.02788729685547</v>
      </c>
      <c r="Y41">
        <f t="shared" si="29"/>
        <v>3.01964203292477</v>
      </c>
      <c r="AA41">
        <f t="shared" si="30"/>
        <v>1.10786511455737</v>
      </c>
      <c r="AC41">
        <f t="shared" si="31"/>
        <v>1.10513829221717</v>
      </c>
    </row>
    <row r="42" spans="1:30">
      <c r="A42" s="14" t="s">
        <v>391</v>
      </c>
      <c r="B42" s="23">
        <v>1026.9</v>
      </c>
      <c r="C42" s="8">
        <v>5.3778</v>
      </c>
      <c r="D42" s="8">
        <v>0.1064</v>
      </c>
      <c r="E42" s="8">
        <v>4.8865</v>
      </c>
      <c r="F42" s="8">
        <v>0.1136</v>
      </c>
      <c r="G42" s="23">
        <f t="shared" si="25"/>
        <v>1026.9</v>
      </c>
      <c r="H42" s="8">
        <f t="shared" si="32"/>
        <v>1.68227936860923</v>
      </c>
      <c r="I42" s="8">
        <f t="shared" si="33"/>
        <v>1.58647630079675</v>
      </c>
      <c r="J42" s="8">
        <f t="shared" si="26"/>
        <v>12.1452691767291</v>
      </c>
      <c r="K42" s="8">
        <f t="shared" si="27"/>
        <v>10.6982475517404</v>
      </c>
      <c r="L42" s="13" t="s">
        <v>392</v>
      </c>
      <c r="M42" s="22">
        <v>1029</v>
      </c>
      <c r="N42" s="7">
        <v>1.8686</v>
      </c>
      <c r="O42" s="7">
        <v>0.0457</v>
      </c>
      <c r="P42" s="7">
        <v>1.7006</v>
      </c>
      <c r="Q42" s="7">
        <v>0.0491</v>
      </c>
      <c r="R42" s="22">
        <f t="shared" si="15"/>
        <v>1029</v>
      </c>
      <c r="S42" s="7">
        <f t="shared" si="22"/>
        <v>0.625189487376718</v>
      </c>
      <c r="T42" s="7">
        <f t="shared" si="23"/>
        <v>0.530981129969555</v>
      </c>
      <c r="U42" s="7">
        <f t="shared" si="16"/>
        <v>12.3605452350251</v>
      </c>
      <c r="V42" s="7">
        <f t="shared" si="17"/>
        <v>11.1734933667944</v>
      </c>
      <c r="W42">
        <f t="shared" si="28"/>
        <v>2.8779835170716</v>
      </c>
      <c r="X42">
        <f t="shared" ref="X42:AB42" si="34">AVERAGE(W39:W42)</f>
        <v>2.92899605029591</v>
      </c>
      <c r="Y42">
        <f t="shared" si="29"/>
        <v>2.87339762436787</v>
      </c>
      <c r="Z42">
        <f t="shared" si="34"/>
        <v>3.00104191277703</v>
      </c>
      <c r="AA42">
        <f t="shared" si="30"/>
        <v>1.05708988123252</v>
      </c>
      <c r="AB42">
        <f t="shared" si="34"/>
        <v>1.0740745134274</v>
      </c>
      <c r="AC42">
        <f t="shared" si="31"/>
        <v>1.0554951708272</v>
      </c>
      <c r="AD42">
        <f>AVERAGE(AC39:AC42)</f>
        <v>1.09862228665162</v>
      </c>
    </row>
    <row r="43" spans="1:30">
      <c r="A43" s="14" t="s">
        <v>393</v>
      </c>
      <c r="B43" s="23">
        <v>1051.2</v>
      </c>
      <c r="C43" s="8">
        <v>4.5156</v>
      </c>
      <c r="D43" s="8">
        <v>0.0879</v>
      </c>
      <c r="E43" s="8">
        <v>4.3747</v>
      </c>
      <c r="F43" s="8">
        <v>0.0963</v>
      </c>
      <c r="G43" s="23">
        <f t="shared" si="25"/>
        <v>1051.2</v>
      </c>
      <c r="H43" s="8">
        <f t="shared" si="32"/>
        <v>1.50753806840525</v>
      </c>
      <c r="I43" s="8">
        <f t="shared" si="33"/>
        <v>1.47583794602988</v>
      </c>
      <c r="J43" s="8">
        <f t="shared" si="26"/>
        <v>10.1980693767782</v>
      </c>
      <c r="K43" s="8">
        <f t="shared" si="27"/>
        <v>9.57773939723699</v>
      </c>
      <c r="L43" s="12"/>
    </row>
    <row r="44" spans="1:30">
      <c r="A44" s="14" t="s">
        <v>394</v>
      </c>
      <c r="B44" s="23">
        <v>1078.5</v>
      </c>
      <c r="C44" s="8">
        <v>4.0274</v>
      </c>
      <c r="D44" s="8">
        <v>0.0792</v>
      </c>
      <c r="E44" s="8">
        <v>3.6552</v>
      </c>
      <c r="F44" s="8">
        <v>0.0867</v>
      </c>
      <c r="G44" s="23">
        <f t="shared" si="25"/>
        <v>1078.5</v>
      </c>
      <c r="H44" s="8">
        <f t="shared" si="32"/>
        <v>1.39312100646217</v>
      </c>
      <c r="I44" s="8">
        <f t="shared" si="33"/>
        <v>1.29615081126692</v>
      </c>
      <c r="J44" s="8">
        <f t="shared" si="26"/>
        <v>9.09551435203223</v>
      </c>
      <c r="K44" s="8">
        <f t="shared" si="27"/>
        <v>8.0025037247767</v>
      </c>
      <c r="L44" s="12"/>
    </row>
    <row r="45" spans="1:30">
      <c r="A45" s="14" t="s">
        <v>395</v>
      </c>
      <c r="B45" s="23">
        <v>1100</v>
      </c>
      <c r="C45" s="8">
        <v>3.394</v>
      </c>
      <c r="D45" s="8">
        <v>0.0821</v>
      </c>
      <c r="E45" s="8">
        <v>3.1398</v>
      </c>
      <c r="F45" s="8">
        <v>0.0908</v>
      </c>
      <c r="G45" s="23">
        <f t="shared" si="25"/>
        <v>1100</v>
      </c>
      <c r="H45" s="8">
        <f t="shared" si="32"/>
        <v>1.22200916681203</v>
      </c>
      <c r="I45" s="8">
        <f t="shared" si="33"/>
        <v>1.14415910362408</v>
      </c>
      <c r="J45" s="8">
        <f t="shared" si="26"/>
        <v>7.66503841455961</v>
      </c>
      <c r="K45" s="8">
        <f t="shared" si="27"/>
        <v>6.87411391854177</v>
      </c>
      <c r="L45" s="12"/>
    </row>
    <row r="46" spans="1:30">
      <c r="A46" s="14" t="s">
        <v>396</v>
      </c>
      <c r="B46" s="23">
        <v>1123.8</v>
      </c>
      <c r="C46" s="8">
        <v>2.836</v>
      </c>
      <c r="D46" s="8">
        <v>0.0646</v>
      </c>
      <c r="E46" s="8">
        <v>2.7976</v>
      </c>
      <c r="F46" s="8">
        <v>0.0739</v>
      </c>
      <c r="G46" s="23">
        <f t="shared" si="25"/>
        <v>1123.8</v>
      </c>
      <c r="H46" s="8">
        <f t="shared" si="32"/>
        <v>1.04239460866988</v>
      </c>
      <c r="I46" s="8">
        <f t="shared" si="33"/>
        <v>1.02876190676703</v>
      </c>
      <c r="J46" s="8">
        <f t="shared" si="26"/>
        <v>6.40484647722188</v>
      </c>
      <c r="K46" s="8">
        <f t="shared" si="27"/>
        <v>6.12491913450298</v>
      </c>
      <c r="L46" s="15" t="s">
        <v>397</v>
      </c>
      <c r="M46" s="24">
        <v>1126.1</v>
      </c>
      <c r="N46" s="16">
        <v>6.0903</v>
      </c>
      <c r="O46" s="16">
        <v>0.1174</v>
      </c>
      <c r="P46" s="16">
        <v>5.7703</v>
      </c>
      <c r="Q46" s="16">
        <v>0.1302</v>
      </c>
      <c r="R46" s="24">
        <f t="shared" ref="R46:R64" si="35">M46</f>
        <v>1126.1</v>
      </c>
      <c r="S46" s="16">
        <f t="shared" ref="S46:S64" si="36">LN(N46)</f>
        <v>1.80669734159226</v>
      </c>
      <c r="T46" s="16">
        <f t="shared" ref="T46:T64" si="37">LN((P46))</f>
        <v>1.75272407223601</v>
      </c>
      <c r="U46" s="16"/>
      <c r="V46" s="16"/>
      <c r="W46">
        <f t="shared" ref="W46:W49" si="38">N46/C46</f>
        <v>2.14749647390691</v>
      </c>
      <c r="Y46">
        <f t="shared" ref="Y46:Y49" si="39">P46/E46</f>
        <v>2.06258936231055</v>
      </c>
      <c r="AA46">
        <f t="shared" ref="AA46:AA49" si="40">LN(N46)-LN(C46)</f>
        <v>0.764302732922381</v>
      </c>
      <c r="AC46">
        <f t="shared" ref="AC46:AC49" si="41">LN(P46)-LN(E46)</f>
        <v>0.723962165468977</v>
      </c>
    </row>
    <row r="47" spans="1:30">
      <c r="A47" s="14" t="s">
        <v>398</v>
      </c>
      <c r="B47" s="23">
        <v>1149.3</v>
      </c>
      <c r="C47" s="8">
        <v>2.2629</v>
      </c>
      <c r="D47" s="8">
        <v>0.0612</v>
      </c>
      <c r="E47" s="8">
        <v>2.1853</v>
      </c>
      <c r="F47" s="8">
        <v>0.0713</v>
      </c>
      <c r="G47" s="23">
        <f t="shared" si="25"/>
        <v>1149.3</v>
      </c>
      <c r="H47" s="8">
        <f t="shared" si="32"/>
        <v>0.816647176545558</v>
      </c>
      <c r="I47" s="8">
        <f t="shared" si="33"/>
        <v>0.78175311889397</v>
      </c>
      <c r="J47" s="8">
        <f t="shared" si="26"/>
        <v>5.11055257168737</v>
      </c>
      <c r="K47" s="8">
        <f t="shared" si="27"/>
        <v>4.78438153582691</v>
      </c>
      <c r="L47" s="15" t="s">
        <v>399</v>
      </c>
      <c r="M47" s="24">
        <v>1147.1</v>
      </c>
      <c r="N47" s="16">
        <v>5.5021</v>
      </c>
      <c r="O47" s="16">
        <v>0.0997</v>
      </c>
      <c r="P47" s="16">
        <v>4.9934</v>
      </c>
      <c r="Q47" s="16">
        <v>0.1097</v>
      </c>
      <c r="R47" s="24">
        <f t="shared" si="35"/>
        <v>1147.1</v>
      </c>
      <c r="S47" s="16">
        <f t="shared" si="36"/>
        <v>1.70512983754623</v>
      </c>
      <c r="T47" s="16">
        <f t="shared" si="37"/>
        <v>1.60811704046668</v>
      </c>
      <c r="U47" s="16"/>
      <c r="V47" s="16"/>
      <c r="W47">
        <f t="shared" si="38"/>
        <v>2.43143753590525</v>
      </c>
      <c r="Y47">
        <f t="shared" si="39"/>
        <v>2.28499519516771</v>
      </c>
      <c r="AA47">
        <f t="shared" si="40"/>
        <v>0.888482661000673</v>
      </c>
      <c r="AC47">
        <f t="shared" si="41"/>
        <v>0.826363921572715</v>
      </c>
    </row>
    <row r="48" spans="1:30">
      <c r="A48" s="14" t="s">
        <v>400</v>
      </c>
      <c r="B48" s="23">
        <v>1171.9</v>
      </c>
      <c r="C48" s="8">
        <v>2.0568</v>
      </c>
      <c r="D48" s="8">
        <v>0.0554</v>
      </c>
      <c r="E48" s="8">
        <v>1.9956</v>
      </c>
      <c r="F48" s="8">
        <v>0.0647</v>
      </c>
      <c r="G48" s="23">
        <f t="shared" si="25"/>
        <v>1171.9</v>
      </c>
      <c r="H48" s="8">
        <f t="shared" si="32"/>
        <v>0.721151376969543</v>
      </c>
      <c r="I48" s="8">
        <f t="shared" si="33"/>
        <v>0.690944757004745</v>
      </c>
      <c r="J48" s="8">
        <f t="shared" si="26"/>
        <v>4.64509458192876</v>
      </c>
      <c r="K48" s="8">
        <f t="shared" si="27"/>
        <v>4.36906227652779</v>
      </c>
      <c r="L48" s="15" t="s">
        <v>401</v>
      </c>
      <c r="M48" s="24">
        <v>1174</v>
      </c>
      <c r="N48" s="16">
        <v>4.4769</v>
      </c>
      <c r="O48" s="16">
        <v>0.0904</v>
      </c>
      <c r="P48" s="16">
        <v>4.2874</v>
      </c>
      <c r="Q48" s="16">
        <v>0.103</v>
      </c>
      <c r="R48" s="24">
        <f t="shared" si="35"/>
        <v>1174</v>
      </c>
      <c r="S48" s="16">
        <f t="shared" si="36"/>
        <v>1.49893084262339</v>
      </c>
      <c r="T48" s="16">
        <f t="shared" si="37"/>
        <v>1.4556804886049</v>
      </c>
      <c r="U48" s="16"/>
      <c r="V48" s="16"/>
      <c r="W48">
        <f t="shared" si="38"/>
        <v>2.17663360560093</v>
      </c>
      <c r="Y48">
        <f t="shared" si="39"/>
        <v>2.14842653838445</v>
      </c>
      <c r="AA48">
        <f t="shared" si="40"/>
        <v>0.777779465653852</v>
      </c>
      <c r="AC48">
        <f t="shared" si="41"/>
        <v>0.764735731600153</v>
      </c>
    </row>
    <row r="49" spans="1:30">
      <c r="A49" s="14" t="s">
        <v>402</v>
      </c>
      <c r="B49" s="23">
        <v>1197.7</v>
      </c>
      <c r="C49" s="8">
        <v>1.6942</v>
      </c>
      <c r="D49" s="8">
        <v>0.0481</v>
      </c>
      <c r="E49" s="8">
        <v>1.696</v>
      </c>
      <c r="F49" s="8">
        <v>0.0569</v>
      </c>
      <c r="G49" s="23">
        <f t="shared" si="25"/>
        <v>1197.7</v>
      </c>
      <c r="H49" s="8">
        <f t="shared" si="32"/>
        <v>0.527210653015313</v>
      </c>
      <c r="I49" s="8">
        <f t="shared" si="33"/>
        <v>0.528272537369711</v>
      </c>
      <c r="J49" s="8">
        <f t="shared" si="26"/>
        <v>3.82619566350822</v>
      </c>
      <c r="K49" s="8">
        <f t="shared" si="27"/>
        <v>3.71313370464579</v>
      </c>
      <c r="L49" s="15" t="s">
        <v>403</v>
      </c>
      <c r="M49" s="24">
        <v>1195.3</v>
      </c>
      <c r="N49" s="16">
        <v>3.8595</v>
      </c>
      <c r="O49" s="16">
        <v>0.096</v>
      </c>
      <c r="P49" s="16">
        <v>3.8353</v>
      </c>
      <c r="Q49" s="16">
        <v>0.1116</v>
      </c>
      <c r="R49" s="24">
        <f t="shared" si="35"/>
        <v>1195.3</v>
      </c>
      <c r="S49" s="16">
        <f t="shared" si="36"/>
        <v>1.35053764140777</v>
      </c>
      <c r="T49" s="16">
        <f t="shared" si="37"/>
        <v>1.34424765861755</v>
      </c>
      <c r="U49" s="16"/>
      <c r="V49" s="16"/>
      <c r="W49">
        <f t="shared" si="38"/>
        <v>2.27806634399717</v>
      </c>
      <c r="X49">
        <f t="shared" ref="X49:AB49" si="42">AVERAGE(W46:W49)</f>
        <v>2.25840848985257</v>
      </c>
      <c r="Y49">
        <f t="shared" si="39"/>
        <v>2.26137971698113</v>
      </c>
      <c r="Z49">
        <f t="shared" si="42"/>
        <v>2.18934770321096</v>
      </c>
      <c r="AA49">
        <f t="shared" si="40"/>
        <v>0.823326988392458</v>
      </c>
      <c r="AB49">
        <f t="shared" si="42"/>
        <v>0.813472961992341</v>
      </c>
      <c r="AC49">
        <f t="shared" si="41"/>
        <v>0.815975121247835</v>
      </c>
      <c r="AD49">
        <f>AVERAGE(AC46:AC49)</f>
        <v>0.78275923497242</v>
      </c>
    </row>
    <row r="50" spans="1:30">
      <c r="L50" s="15" t="s">
        <v>404</v>
      </c>
      <c r="M50" s="24">
        <v>1220.3</v>
      </c>
      <c r="N50" s="16">
        <v>3.1959</v>
      </c>
      <c r="O50" s="16">
        <v>0.0818</v>
      </c>
      <c r="P50" s="16">
        <v>3.1158</v>
      </c>
      <c r="Q50" s="16">
        <v>0.0966</v>
      </c>
      <c r="R50" s="24">
        <f t="shared" si="35"/>
        <v>1220.3</v>
      </c>
      <c r="S50" s="16">
        <f t="shared" si="36"/>
        <v>1.16186873830312</v>
      </c>
      <c r="T50" s="16">
        <f t="shared" si="37"/>
        <v>1.13648594109619</v>
      </c>
      <c r="U50" s="16"/>
      <c r="V50" s="16"/>
    </row>
    <row r="51" spans="1:30">
      <c r="L51" s="15" t="s">
        <v>405</v>
      </c>
      <c r="M51" s="24">
        <v>1244.4</v>
      </c>
      <c r="N51" s="16">
        <v>2.7775</v>
      </c>
      <c r="O51" s="16">
        <v>0.0794</v>
      </c>
      <c r="P51" s="16">
        <v>2.6423</v>
      </c>
      <c r="Q51" s="16">
        <v>0.0955</v>
      </c>
      <c r="R51" s="24">
        <f t="shared" si="35"/>
        <v>1244.4</v>
      </c>
      <c r="S51" s="16">
        <f t="shared" si="36"/>
        <v>1.02155124253165</v>
      </c>
      <c r="T51" s="16">
        <f t="shared" si="37"/>
        <v>0.971649749994433</v>
      </c>
      <c r="U51" s="16"/>
      <c r="V51" s="16"/>
    </row>
    <row r="52" spans="1:30">
      <c r="L52" s="15" t="s">
        <v>406</v>
      </c>
      <c r="M52" s="24">
        <v>1268.2</v>
      </c>
      <c r="N52" s="16">
        <v>2.3256</v>
      </c>
      <c r="O52" s="16">
        <v>0.0798</v>
      </c>
      <c r="P52" s="16">
        <v>2.152</v>
      </c>
      <c r="Q52" s="16">
        <v>0.0956</v>
      </c>
      <c r="R52" s="24">
        <f t="shared" si="35"/>
        <v>1268.2</v>
      </c>
      <c r="S52" s="16">
        <f t="shared" si="36"/>
        <v>0.843978070262529</v>
      </c>
      <c r="T52" s="16">
        <f t="shared" si="37"/>
        <v>0.766397642299538</v>
      </c>
      <c r="U52" s="16"/>
      <c r="V52" s="16"/>
    </row>
    <row r="53" spans="1:30">
      <c r="L53" s="15" t="s">
        <v>407</v>
      </c>
      <c r="M53" s="24">
        <v>1292.4</v>
      </c>
      <c r="N53" s="16">
        <v>2.0615</v>
      </c>
      <c r="O53" s="16">
        <v>0.058</v>
      </c>
      <c r="P53" s="16">
        <v>1.8548</v>
      </c>
      <c r="Q53" s="16">
        <v>0.0695</v>
      </c>
      <c r="R53" s="24">
        <f t="shared" si="35"/>
        <v>1292.4</v>
      </c>
      <c r="S53" s="16">
        <f t="shared" si="36"/>
        <v>0.723433873164818</v>
      </c>
      <c r="T53" s="16">
        <f t="shared" si="37"/>
        <v>0.617776873535169</v>
      </c>
      <c r="U53" s="16"/>
      <c r="V53" s="16"/>
    </row>
    <row r="54" spans="1:30">
      <c r="L54" s="15" t="s">
        <v>408</v>
      </c>
      <c r="M54" s="24">
        <v>1316.5</v>
      </c>
      <c r="N54" s="16">
        <v>1.6233</v>
      </c>
      <c r="O54" s="16">
        <v>0.0519</v>
      </c>
      <c r="P54" s="16">
        <v>1.5969</v>
      </c>
      <c r="Q54" s="16">
        <v>0.0572</v>
      </c>
      <c r="R54" s="24">
        <f t="shared" si="35"/>
        <v>1316.5</v>
      </c>
      <c r="S54" s="16">
        <f t="shared" si="36"/>
        <v>0.484461114334662</v>
      </c>
      <c r="T54" s="16">
        <f t="shared" si="37"/>
        <v>0.468064249864684</v>
      </c>
      <c r="U54" s="16"/>
      <c r="V54" s="16"/>
    </row>
    <row r="55" spans="1:30">
      <c r="L55" s="15" t="s">
        <v>409</v>
      </c>
      <c r="M55" s="24">
        <v>1340.7</v>
      </c>
      <c r="N55" s="16">
        <v>1.2911</v>
      </c>
      <c r="O55" s="16">
        <v>0.0393</v>
      </c>
      <c r="P55" s="16">
        <v>1.5183</v>
      </c>
      <c r="Q55" s="16">
        <v>0.0456</v>
      </c>
      <c r="R55" s="24">
        <f t="shared" si="35"/>
        <v>1340.7</v>
      </c>
      <c r="S55" s="16">
        <f t="shared" si="36"/>
        <v>0.255494568198536</v>
      </c>
      <c r="T55" s="16">
        <f t="shared" si="37"/>
        <v>0.417591287906005</v>
      </c>
      <c r="U55" s="16"/>
      <c r="V55" s="16"/>
    </row>
    <row r="56" spans="1:30">
      <c r="L56" s="15" t="s">
        <v>410</v>
      </c>
      <c r="M56" s="24">
        <v>1364.9</v>
      </c>
      <c r="N56" s="16">
        <v>1.069</v>
      </c>
      <c r="O56" s="16">
        <v>0.0378</v>
      </c>
      <c r="P56" s="16">
        <v>1.2898</v>
      </c>
      <c r="Q56" s="16">
        <v>0.0441</v>
      </c>
      <c r="R56" s="24">
        <f t="shared" si="35"/>
        <v>1364.9</v>
      </c>
      <c r="S56" s="16">
        <f t="shared" si="36"/>
        <v>0.0667236320429081</v>
      </c>
      <c r="T56" s="16">
        <f t="shared" si="37"/>
        <v>0.25448716759414</v>
      </c>
      <c r="U56" s="16"/>
      <c r="V56" s="16"/>
    </row>
    <row r="57" spans="1:30">
      <c r="L57" s="15" t="s">
        <v>411</v>
      </c>
      <c r="M57" s="24">
        <v>1389.9</v>
      </c>
      <c r="N57" s="16">
        <v>0.9145</v>
      </c>
      <c r="O57" s="16">
        <v>0.0335</v>
      </c>
      <c r="P57" s="16">
        <v>1.1401</v>
      </c>
      <c r="Q57" s="16">
        <v>0.0395</v>
      </c>
      <c r="R57" s="24">
        <f t="shared" si="35"/>
        <v>1389.9</v>
      </c>
      <c r="S57" s="16">
        <f t="shared" si="36"/>
        <v>-0.0893778111512167</v>
      </c>
      <c r="T57" s="16">
        <f t="shared" si="37"/>
        <v>0.131115977857537</v>
      </c>
      <c r="U57" s="16"/>
      <c r="V57" s="16"/>
    </row>
    <row r="58" spans="1:30">
      <c r="L58" s="15" t="s">
        <v>412</v>
      </c>
      <c r="M58" s="24">
        <v>1418.8</v>
      </c>
      <c r="N58" s="16">
        <v>0.7344</v>
      </c>
      <c r="O58" s="16">
        <v>0.0303</v>
      </c>
      <c r="P58" s="16">
        <v>0.8747</v>
      </c>
      <c r="Q58" s="16">
        <v>0.0354</v>
      </c>
      <c r="R58" s="24">
        <f t="shared" si="35"/>
        <v>1418.8</v>
      </c>
      <c r="S58" s="16">
        <f t="shared" si="36"/>
        <v>-0.308701439675856</v>
      </c>
      <c r="T58" s="16">
        <f t="shared" si="37"/>
        <v>-0.133874308556328</v>
      </c>
      <c r="U58" s="16"/>
      <c r="V58" s="16"/>
    </row>
    <row r="59" spans="1:30">
      <c r="L59" s="15" t="s">
        <v>413</v>
      </c>
      <c r="M59" s="24">
        <v>1431.4</v>
      </c>
      <c r="N59" s="16">
        <v>0.6479</v>
      </c>
      <c r="O59" s="16">
        <v>0.0281</v>
      </c>
      <c r="P59" s="16">
        <v>0.8618</v>
      </c>
      <c r="Q59" s="16">
        <v>0.034</v>
      </c>
      <c r="R59" s="24">
        <f t="shared" si="35"/>
        <v>1431.4</v>
      </c>
      <c r="S59" s="16">
        <f t="shared" si="36"/>
        <v>-0.434018915526225</v>
      </c>
      <c r="T59" s="16">
        <f t="shared" si="37"/>
        <v>-0.148732053800399</v>
      </c>
      <c r="U59" s="16"/>
      <c r="V59" s="16"/>
    </row>
    <row r="60" spans="1:30">
      <c r="L60" s="15" t="s">
        <v>414</v>
      </c>
      <c r="M60" s="24">
        <v>1467.6</v>
      </c>
      <c r="N60" s="16">
        <v>0.478</v>
      </c>
      <c r="O60" s="16">
        <v>0.02</v>
      </c>
      <c r="P60" s="16">
        <v>0.6983</v>
      </c>
      <c r="Q60" s="16">
        <v>0.0242</v>
      </c>
      <c r="R60" s="24">
        <f t="shared" si="35"/>
        <v>1467.6</v>
      </c>
      <c r="S60" s="16">
        <f t="shared" si="36"/>
        <v>-0.738144546490681</v>
      </c>
      <c r="T60" s="16">
        <f t="shared" si="37"/>
        <v>-0.359106469130147</v>
      </c>
      <c r="U60" s="16"/>
      <c r="V60" s="16"/>
    </row>
    <row r="61" spans="1:30">
      <c r="L61" s="15" t="s">
        <v>415</v>
      </c>
      <c r="M61" s="24">
        <v>1486.5</v>
      </c>
      <c r="N61" s="16">
        <v>0.4542</v>
      </c>
      <c r="O61" s="16">
        <v>0.0217</v>
      </c>
      <c r="P61" s="16">
        <v>0.5534</v>
      </c>
      <c r="Q61" s="16">
        <v>0.0257</v>
      </c>
      <c r="R61" s="24">
        <f t="shared" si="35"/>
        <v>1486.5</v>
      </c>
      <c r="S61" s="16">
        <f t="shared" si="36"/>
        <v>-0.789217649310679</v>
      </c>
      <c r="T61" s="16">
        <f t="shared" si="37"/>
        <v>-0.591674211629312</v>
      </c>
      <c r="U61" s="16"/>
      <c r="V61" s="16"/>
    </row>
    <row r="62" spans="1:30">
      <c r="L62" s="15" t="s">
        <v>416</v>
      </c>
      <c r="M62" s="24">
        <v>1515.7</v>
      </c>
      <c r="N62" s="16">
        <v>0.2864</v>
      </c>
      <c r="O62" s="16">
        <v>0.0235</v>
      </c>
      <c r="P62" s="16">
        <v>0.4716</v>
      </c>
      <c r="Q62" s="16">
        <v>0.0287</v>
      </c>
      <c r="R62" s="24">
        <f t="shared" si="35"/>
        <v>1515.7</v>
      </c>
      <c r="S62" s="16">
        <f t="shared" si="36"/>
        <v>-1.25036584389565</v>
      </c>
      <c r="T62" s="16">
        <f t="shared" si="37"/>
        <v>-0.751624110318921</v>
      </c>
      <c r="U62" s="16"/>
      <c r="V62" s="16"/>
    </row>
    <row r="63" spans="1:30">
      <c r="L63" s="15" t="s">
        <v>417</v>
      </c>
      <c r="M63" s="24">
        <v>1527</v>
      </c>
      <c r="N63" s="16">
        <v>0.2755</v>
      </c>
      <c r="O63" s="16">
        <v>0.0245</v>
      </c>
      <c r="P63" s="16">
        <v>0.4166</v>
      </c>
      <c r="Q63" s="16">
        <v>0.0294</v>
      </c>
      <c r="R63" s="24">
        <f t="shared" si="35"/>
        <v>1527</v>
      </c>
      <c r="S63" s="16">
        <f t="shared" si="36"/>
        <v>-1.28916765038917</v>
      </c>
      <c r="T63" s="16">
        <f t="shared" si="37"/>
        <v>-0.875628750155265</v>
      </c>
      <c r="U63" s="16"/>
      <c r="V63" s="16"/>
    </row>
    <row r="64" spans="1:30">
      <c r="L64" s="15" t="s">
        <v>418</v>
      </c>
      <c r="M64" s="24">
        <v>1565.8</v>
      </c>
      <c r="N64" s="16">
        <v>0.1889</v>
      </c>
      <c r="O64" s="16">
        <v>0.016</v>
      </c>
      <c r="P64" s="16">
        <v>0.2685</v>
      </c>
      <c r="Q64" s="16">
        <v>0.0194</v>
      </c>
      <c r="R64" s="24">
        <f t="shared" si="35"/>
        <v>1565.8</v>
      </c>
      <c r="S64" s="16">
        <f t="shared" si="36"/>
        <v>-1.66653750447467</v>
      </c>
      <c r="T64" s="16">
        <f t="shared" si="37"/>
        <v>-1.31490436503322</v>
      </c>
      <c r="U64" s="16"/>
      <c r="V64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4"/>
  <sheetViews>
    <sheetView topLeftCell="E37" workbookViewId="0">
      <selection activeCell="N46" sqref="N46:P64"/>
    </sheetView>
  </sheetViews>
  <sheetFormatPr defaultColWidth="9" defaultRowHeight="14.4"/>
  <cols>
    <col min="1" max="1" width="13" customWidth="1"/>
    <col min="2" max="2" width="10.6666666666667" customWidth="1"/>
    <col min="3" max="5" width="12.8888888888889" customWidth="1"/>
    <col min="6" max="7" width="15" customWidth="1"/>
    <col min="8" max="9" width="12.8888888888889" customWidth="1"/>
    <col min="10" max="10" width="13" customWidth="1"/>
    <col min="11" max="11" width="10.6666666666667" customWidth="1"/>
    <col min="12" max="14" width="12.8888888888889" customWidth="1"/>
    <col min="15" max="16" width="15" customWidth="1"/>
    <col min="17" max="20" width="12.8888888888889" customWidth="1"/>
    <col min="21" max="21" width="20.8888888888889" customWidth="1"/>
    <col min="22" max="22" width="12.8888888888889" customWidth="1"/>
    <col min="23" max="26" width="12.8888888888889"/>
  </cols>
  <sheetData>
    <row r="1" ht="17.4" spans="1:25">
      <c r="A1" s="1" t="s">
        <v>324</v>
      </c>
      <c r="B1" s="1" t="s">
        <v>325</v>
      </c>
      <c r="C1" s="1">
        <v>747</v>
      </c>
      <c r="D1" s="1">
        <v>633</v>
      </c>
      <c r="E1" s="1"/>
      <c r="F1" s="1" t="s">
        <v>329</v>
      </c>
      <c r="G1" s="1" t="s">
        <v>330</v>
      </c>
      <c r="H1" s="1" t="s">
        <v>331</v>
      </c>
      <c r="I1" s="1" t="s">
        <v>332</v>
      </c>
      <c r="J1" s="2" t="s">
        <v>333</v>
      </c>
      <c r="K1" s="1" t="s">
        <v>325</v>
      </c>
      <c r="L1" s="1" t="s">
        <v>334</v>
      </c>
      <c r="M1" s="1" t="s">
        <v>327</v>
      </c>
      <c r="N1" s="1"/>
      <c r="O1" s="1" t="s">
        <v>329</v>
      </c>
      <c r="P1" s="1" t="s">
        <v>330</v>
      </c>
      <c r="Q1" s="1" t="s">
        <v>331</v>
      </c>
      <c r="R1" s="1" t="s">
        <v>332</v>
      </c>
      <c r="S1" s="1"/>
      <c r="U1" t="s">
        <v>335</v>
      </c>
    </row>
    <row r="2" spans="1:25">
      <c r="A2" s="3" t="s">
        <v>336</v>
      </c>
      <c r="J2" s="4" t="s">
        <v>336</v>
      </c>
      <c r="K2" s="5">
        <v>55.7</v>
      </c>
      <c r="L2" s="5">
        <v>13.8123</v>
      </c>
      <c r="M2" s="5">
        <v>4.043</v>
      </c>
      <c r="N2" s="5">
        <f t="shared" ref="N2:N14" si="0">K2</f>
        <v>55.7</v>
      </c>
      <c r="O2" s="5">
        <f t="shared" ref="O2:O14" si="1">LN(L2)+$X$49+$X$42+$X$29+$X$20</f>
        <v>8.84358986878578</v>
      </c>
      <c r="P2" s="5">
        <f t="shared" ref="P2:P14" si="2">LN(M2)+$Z$49+$Z$42+$Z$29+$Z$20</f>
        <v>8.6509791650019</v>
      </c>
      <c r="Q2" s="5">
        <f t="shared" ref="Q2:Q14" si="3">L2*$T$20*$T$29*$T$42*$T$49</f>
        <v>6939.36305188116</v>
      </c>
      <c r="R2" s="5">
        <f t="shared" ref="R2:R14" si="4">M2*$V$20*$V$29*$V$42*$V$49</f>
        <v>5726.47703583646</v>
      </c>
      <c r="U2" s="5" t="s">
        <v>337</v>
      </c>
    </row>
    <row r="3" spans="1:25">
      <c r="A3" s="3" t="s">
        <v>338</v>
      </c>
      <c r="J3" s="4" t="s">
        <v>338</v>
      </c>
      <c r="K3" s="5">
        <v>91</v>
      </c>
      <c r="L3" s="5">
        <v>10.6615</v>
      </c>
      <c r="M3" s="5">
        <v>3.4648</v>
      </c>
      <c r="N3" s="5">
        <f t="shared" si="0"/>
        <v>91</v>
      </c>
      <c r="O3" s="5">
        <f t="shared" si="1"/>
        <v>8.58466949103479</v>
      </c>
      <c r="P3" s="5">
        <f t="shared" si="2"/>
        <v>8.49664708526155</v>
      </c>
      <c r="Q3" s="5">
        <f t="shared" si="3"/>
        <v>5356.38663927304</v>
      </c>
      <c r="R3" s="5">
        <f t="shared" si="4"/>
        <v>4907.51858366712</v>
      </c>
      <c r="U3" s="6" t="s">
        <v>339</v>
      </c>
    </row>
    <row r="4" spans="1:25">
      <c r="A4" s="3" t="s">
        <v>340</v>
      </c>
      <c r="J4" s="4" t="s">
        <v>340</v>
      </c>
      <c r="K4" s="5">
        <v>114.5</v>
      </c>
      <c r="L4" s="5">
        <v>9.158</v>
      </c>
      <c r="M4" s="5">
        <v>2.9076</v>
      </c>
      <c r="N4" s="5">
        <f t="shared" si="0"/>
        <v>114.5</v>
      </c>
      <c r="O4" s="5">
        <f t="shared" si="1"/>
        <v>8.43265818348555</v>
      </c>
      <c r="P4" s="5">
        <f t="shared" si="2"/>
        <v>8.32132017297161</v>
      </c>
      <c r="Q4" s="5">
        <f t="shared" si="3"/>
        <v>4601.02132368452</v>
      </c>
      <c r="R4" s="5">
        <f t="shared" si="4"/>
        <v>4118.30438520853</v>
      </c>
      <c r="U4" s="7" t="s">
        <v>341</v>
      </c>
    </row>
    <row r="5" spans="1:25">
      <c r="A5" s="3" t="s">
        <v>342</v>
      </c>
      <c r="J5" s="4" t="s">
        <v>342</v>
      </c>
      <c r="K5" s="5">
        <v>138.5</v>
      </c>
      <c r="L5" s="5">
        <v>8.0036</v>
      </c>
      <c r="M5" s="5">
        <v>2.3769</v>
      </c>
      <c r="N5" s="5">
        <f t="shared" si="0"/>
        <v>138.5</v>
      </c>
      <c r="O5" s="5">
        <f t="shared" si="1"/>
        <v>8.29792180971084</v>
      </c>
      <c r="P5" s="5">
        <f t="shared" si="2"/>
        <v>8.11978929200044</v>
      </c>
      <c r="Q5" s="5">
        <f t="shared" si="3"/>
        <v>4021.04545383724</v>
      </c>
      <c r="R5" s="5">
        <f t="shared" si="4"/>
        <v>3366.62460214684</v>
      </c>
      <c r="U5" s="8" t="s">
        <v>343</v>
      </c>
    </row>
    <row r="6" spans="1:25">
      <c r="A6" s="3" t="s">
        <v>344</v>
      </c>
      <c r="J6" s="4" t="s">
        <v>344</v>
      </c>
      <c r="K6" s="5">
        <v>162.5</v>
      </c>
      <c r="L6" s="5">
        <v>6.8411</v>
      </c>
      <c r="M6" s="5">
        <v>2.2247</v>
      </c>
      <c r="N6" s="5">
        <f t="shared" si="0"/>
        <v>162.5</v>
      </c>
      <c r="O6" s="5">
        <f t="shared" si="1"/>
        <v>8.14097890666861</v>
      </c>
      <c r="P6" s="5">
        <f t="shared" si="2"/>
        <v>8.05361424941022</v>
      </c>
      <c r="Q6" s="5">
        <f t="shared" si="3"/>
        <v>3437.00010673271</v>
      </c>
      <c r="R6" s="5">
        <f t="shared" si="4"/>
        <v>3151.04958239559</v>
      </c>
      <c r="U6" s="9" t="s">
        <v>345</v>
      </c>
    </row>
    <row r="7" spans="1:25">
      <c r="A7" s="3" t="s">
        <v>346</v>
      </c>
      <c r="J7" s="4" t="s">
        <v>346</v>
      </c>
      <c r="K7" s="5">
        <v>186.5</v>
      </c>
      <c r="L7" s="5">
        <v>6.0371</v>
      </c>
      <c r="M7" s="5">
        <v>1.846</v>
      </c>
      <c r="N7" s="5">
        <f t="shared" si="0"/>
        <v>186.5</v>
      </c>
      <c r="O7" s="5">
        <f t="shared" si="1"/>
        <v>8.01595413344654</v>
      </c>
      <c r="P7" s="5">
        <f t="shared" si="2"/>
        <v>7.86701331042393</v>
      </c>
      <c r="Q7" s="5">
        <f t="shared" si="3"/>
        <v>3033.06680860622</v>
      </c>
      <c r="R7" s="5">
        <f t="shared" si="4"/>
        <v>2614.66154047838</v>
      </c>
    </row>
    <row r="8" spans="1:25">
      <c r="A8" s="3" t="s">
        <v>347</v>
      </c>
      <c r="J8" s="4" t="s">
        <v>347</v>
      </c>
      <c r="K8" s="5">
        <v>210.8</v>
      </c>
      <c r="L8" s="5">
        <v>5.0198</v>
      </c>
      <c r="M8" s="5">
        <v>1.4744</v>
      </c>
      <c r="N8" s="5">
        <f t="shared" si="0"/>
        <v>210.8</v>
      </c>
      <c r="O8" s="5">
        <f t="shared" si="1"/>
        <v>7.83142046152317</v>
      </c>
      <c r="P8" s="5">
        <f t="shared" si="2"/>
        <v>7.64224330171675</v>
      </c>
      <c r="Q8" s="5">
        <f t="shared" si="3"/>
        <v>2521.9706093723</v>
      </c>
      <c r="R8" s="5">
        <f t="shared" si="4"/>
        <v>2088.32988910148</v>
      </c>
    </row>
    <row r="9" spans="1:25">
      <c r="A9" s="3" t="s">
        <v>348</v>
      </c>
      <c r="J9" s="4" t="s">
        <v>348</v>
      </c>
      <c r="K9" s="5">
        <v>235.2</v>
      </c>
      <c r="L9" s="5">
        <v>4.2978</v>
      </c>
      <c r="M9" s="5">
        <v>1.2844</v>
      </c>
      <c r="N9" s="5">
        <f t="shared" si="0"/>
        <v>235.2</v>
      </c>
      <c r="O9" s="5">
        <f t="shared" si="1"/>
        <v>7.67613363311697</v>
      </c>
      <c r="P9" s="5">
        <f t="shared" si="2"/>
        <v>7.50428385757649</v>
      </c>
      <c r="Q9" s="5">
        <f t="shared" si="3"/>
        <v>2159.23448841792</v>
      </c>
      <c r="R9" s="5">
        <f t="shared" si="4"/>
        <v>1819.21521267088</v>
      </c>
    </row>
    <row r="10" spans="1:25">
      <c r="A10" s="3" t="s">
        <v>349</v>
      </c>
      <c r="J10" s="4" t="s">
        <v>349</v>
      </c>
      <c r="K10" s="5">
        <v>259.6</v>
      </c>
      <c r="L10" s="5">
        <v>3.6453</v>
      </c>
      <c r="M10" s="5">
        <v>1.1663</v>
      </c>
      <c r="N10" s="5">
        <f t="shared" si="0"/>
        <v>259.6</v>
      </c>
      <c r="O10" s="5">
        <f t="shared" si="1"/>
        <v>7.51146903585118</v>
      </c>
      <c r="P10" s="5">
        <f t="shared" si="2"/>
        <v>7.40782851905814</v>
      </c>
      <c r="Q10" s="5">
        <f t="shared" si="3"/>
        <v>1831.4154871399</v>
      </c>
      <c r="R10" s="5">
        <f t="shared" si="4"/>
        <v>1651.93919537375</v>
      </c>
    </row>
    <row r="11" spans="1:25">
      <c r="A11" s="3" t="s">
        <v>350</v>
      </c>
      <c r="J11" s="4" t="s">
        <v>350</v>
      </c>
      <c r="K11" s="5">
        <v>283.6</v>
      </c>
      <c r="L11" s="5">
        <v>3.2008</v>
      </c>
      <c r="M11" s="5">
        <v>0.9104</v>
      </c>
      <c r="N11" s="5">
        <f t="shared" si="0"/>
        <v>283.6</v>
      </c>
      <c r="O11" s="5">
        <f t="shared" si="1"/>
        <v>7.38143114781153</v>
      </c>
      <c r="P11" s="5">
        <f t="shared" si="2"/>
        <v>7.1601209587332</v>
      </c>
      <c r="Q11" s="5">
        <f t="shared" si="3"/>
        <v>1608.09664259111</v>
      </c>
      <c r="R11" s="5">
        <f t="shared" si="4"/>
        <v>1289.48421801274</v>
      </c>
    </row>
    <row r="12" spans="1:25">
      <c r="A12" s="10" t="s">
        <v>351</v>
      </c>
      <c r="B12" s="11">
        <v>309.3</v>
      </c>
      <c r="C12" s="11">
        <v>20.1661</v>
      </c>
      <c r="D12" s="11">
        <v>14.249</v>
      </c>
      <c r="E12" s="11">
        <f t="shared" ref="E12:E29" si="5">B12</f>
        <v>309.3</v>
      </c>
      <c r="F12" s="11">
        <f t="shared" ref="F12:F29" si="6">LN(C12)+$X$49+$X$42+$X$29</f>
        <v>7.19623060391146</v>
      </c>
      <c r="G12" s="11">
        <f t="shared" ref="G12:G29" si="7">LN(D12)+$Z$49+$Z$42+$Z$29</f>
        <v>7.10618171527964</v>
      </c>
      <c r="H12" s="11">
        <f t="shared" ref="H12:H29" si="8">C12*$T$29*$T$42*$T$49</f>
        <v>1335.49721005071</v>
      </c>
      <c r="I12" s="11">
        <f t="shared" ref="I12:I29" si="9">D12*$V$29*$V$42*$V$49</f>
        <v>1221.65352089688</v>
      </c>
      <c r="J12" s="4" t="s">
        <v>351</v>
      </c>
      <c r="K12" s="5">
        <v>307.6</v>
      </c>
      <c r="L12" s="5">
        <v>2.7016</v>
      </c>
      <c r="M12" s="5">
        <v>0.8464</v>
      </c>
      <c r="N12" s="5">
        <f t="shared" si="0"/>
        <v>307.6</v>
      </c>
      <c r="O12" s="5">
        <f t="shared" si="1"/>
        <v>7.21187455933986</v>
      </c>
      <c r="P12" s="5">
        <f t="shared" si="2"/>
        <v>7.08722895646517</v>
      </c>
      <c r="Q12" s="5">
        <f t="shared" si="3"/>
        <v>1357.29626644094</v>
      </c>
      <c r="R12" s="5">
        <f t="shared" si="4"/>
        <v>1198.83506384664</v>
      </c>
      <c r="S12">
        <f t="shared" ref="S12:S14" si="10">C12/L12</f>
        <v>7.46450251702695</v>
      </c>
      <c r="U12">
        <f t="shared" ref="U12:U14" si="11">D12/M12</f>
        <v>16.8348298676749</v>
      </c>
      <c r="W12">
        <f t="shared" ref="W12:W14" si="12">LN(C12)-LN(L12)</f>
        <v>2.01015878671112</v>
      </c>
      <c r="Y12">
        <f t="shared" ref="Y12:Y14" si="13">LN(D12)-LN(M12)</f>
        <v>2.82344994669175</v>
      </c>
    </row>
    <row r="13" spans="1:25">
      <c r="A13" s="10" t="s">
        <v>352</v>
      </c>
      <c r="B13" s="11">
        <v>330.3</v>
      </c>
      <c r="C13" s="11">
        <v>17.9701</v>
      </c>
      <c r="D13" s="11">
        <v>12.0226</v>
      </c>
      <c r="E13" s="11">
        <f t="shared" si="5"/>
        <v>330.3</v>
      </c>
      <c r="F13" s="11">
        <f t="shared" si="6"/>
        <v>7.08093689272137</v>
      </c>
      <c r="G13" s="11">
        <f t="shared" si="7"/>
        <v>6.93628319833865</v>
      </c>
      <c r="H13" s="11">
        <f t="shared" si="8"/>
        <v>1190.06741086934</v>
      </c>
      <c r="I13" s="11">
        <f t="shared" si="9"/>
        <v>1030.77069410729</v>
      </c>
      <c r="J13" s="4" t="s">
        <v>353</v>
      </c>
      <c r="K13" s="5">
        <v>332.1</v>
      </c>
      <c r="L13" s="5">
        <v>2.2638</v>
      </c>
      <c r="M13" s="5">
        <v>0.7383</v>
      </c>
      <c r="N13" s="5">
        <f t="shared" si="0"/>
        <v>332.1</v>
      </c>
      <c r="O13" s="5">
        <f t="shared" si="1"/>
        <v>7.03507518646683</v>
      </c>
      <c r="P13" s="5">
        <f t="shared" si="2"/>
        <v>6.95058714142625</v>
      </c>
      <c r="Q13" s="5">
        <f t="shared" si="3"/>
        <v>1137.34353270987</v>
      </c>
      <c r="R13" s="5">
        <f t="shared" si="4"/>
        <v>1045.72297688797</v>
      </c>
      <c r="S13">
        <f t="shared" si="10"/>
        <v>7.93802456047354</v>
      </c>
      <c r="U13">
        <f t="shared" si="11"/>
        <v>16.2841663280509</v>
      </c>
      <c r="W13">
        <f t="shared" si="12"/>
        <v>2.07166444839407</v>
      </c>
      <c r="Y13">
        <f t="shared" si="13"/>
        <v>2.79019324478968</v>
      </c>
    </row>
    <row r="14" spans="1:25">
      <c r="A14" s="10" t="s">
        <v>354</v>
      </c>
      <c r="B14" s="11">
        <v>356.7</v>
      </c>
      <c r="C14" s="11">
        <v>14.752</v>
      </c>
      <c r="D14" s="11">
        <v>10.0478</v>
      </c>
      <c r="E14" s="11">
        <f t="shared" si="5"/>
        <v>356.7</v>
      </c>
      <c r="F14" s="11">
        <f t="shared" si="6"/>
        <v>6.88360629392536</v>
      </c>
      <c r="G14" s="11">
        <f t="shared" si="7"/>
        <v>6.75684869153513</v>
      </c>
      <c r="H14" s="11">
        <f t="shared" si="8"/>
        <v>976.949179200144</v>
      </c>
      <c r="I14" s="11">
        <f t="shared" si="9"/>
        <v>861.459067111212</v>
      </c>
      <c r="J14" s="4" t="s">
        <v>355</v>
      </c>
      <c r="K14" s="5">
        <v>355.1</v>
      </c>
      <c r="L14" s="5">
        <v>2.0053</v>
      </c>
      <c r="M14" s="5">
        <v>0.6111</v>
      </c>
      <c r="N14" s="5">
        <f t="shared" si="0"/>
        <v>355.1</v>
      </c>
      <c r="O14" s="5">
        <f t="shared" si="1"/>
        <v>6.91382404475149</v>
      </c>
      <c r="P14" s="5">
        <f t="shared" si="2"/>
        <v>6.761497507262</v>
      </c>
      <c r="Q14" s="5">
        <f t="shared" si="3"/>
        <v>1007.47194369781</v>
      </c>
      <c r="R14" s="5">
        <f t="shared" si="4"/>
        <v>865.55778298285</v>
      </c>
      <c r="S14">
        <f t="shared" si="10"/>
        <v>7.3565052610582</v>
      </c>
      <c r="U14">
        <f t="shared" si="11"/>
        <v>16.4421534936999</v>
      </c>
      <c r="W14">
        <f t="shared" si="12"/>
        <v>1.99558499131339</v>
      </c>
      <c r="Y14">
        <f t="shared" si="13"/>
        <v>2.79984837215041</v>
      </c>
    </row>
    <row r="15" spans="1:25">
      <c r="A15" s="10" t="s">
        <v>356</v>
      </c>
      <c r="B15" s="11">
        <v>378.4</v>
      </c>
      <c r="C15" s="11">
        <v>13.3322</v>
      </c>
      <c r="D15" s="11">
        <v>9.3733</v>
      </c>
      <c r="E15" s="11">
        <f t="shared" si="5"/>
        <v>378.4</v>
      </c>
      <c r="F15" s="11">
        <f t="shared" si="6"/>
        <v>6.78240978894424</v>
      </c>
      <c r="G15" s="11">
        <f t="shared" si="7"/>
        <v>6.68736020854625</v>
      </c>
      <c r="H15" s="11">
        <f t="shared" si="8"/>
        <v>882.923118691172</v>
      </c>
      <c r="I15" s="11">
        <f t="shared" si="9"/>
        <v>803.630075613918</v>
      </c>
      <c r="J15" s="4"/>
      <c r="K15" s="5"/>
      <c r="L15" s="5"/>
      <c r="M15" s="5"/>
      <c r="N15" s="5"/>
      <c r="O15" s="5"/>
      <c r="P15" s="5"/>
      <c r="Q15" s="5"/>
      <c r="R15" s="5"/>
    </row>
    <row r="16" spans="1:25">
      <c r="A16" s="10" t="s">
        <v>357</v>
      </c>
      <c r="B16" s="11">
        <v>402.5</v>
      </c>
      <c r="C16" s="11">
        <v>11.4678</v>
      </c>
      <c r="D16" s="11">
        <v>7.7004</v>
      </c>
      <c r="E16" s="11">
        <f t="shared" si="5"/>
        <v>402.5</v>
      </c>
      <c r="F16" s="11">
        <f t="shared" si="6"/>
        <v>6.63177073514759</v>
      </c>
      <c r="G16" s="11">
        <f t="shared" si="7"/>
        <v>6.49076726202832</v>
      </c>
      <c r="H16" s="11">
        <f t="shared" si="8"/>
        <v>759.453484085644</v>
      </c>
      <c r="I16" s="11">
        <f t="shared" si="9"/>
        <v>660.202173648279</v>
      </c>
      <c r="J16" s="4"/>
      <c r="K16" s="5"/>
      <c r="L16" s="5"/>
      <c r="M16" s="5"/>
      <c r="N16" s="5"/>
      <c r="O16" s="5"/>
      <c r="P16" s="5"/>
      <c r="Q16" s="5"/>
      <c r="R16" s="5"/>
    </row>
    <row r="17" spans="1:26">
      <c r="A17" s="10" t="s">
        <v>358</v>
      </c>
      <c r="B17" s="11">
        <v>426.5</v>
      </c>
      <c r="C17" s="11">
        <v>9.5408</v>
      </c>
      <c r="D17" s="11">
        <v>6.7774</v>
      </c>
      <c r="E17" s="11">
        <f t="shared" si="5"/>
        <v>426.5</v>
      </c>
      <c r="F17" s="11">
        <f t="shared" si="6"/>
        <v>6.44780496649782</v>
      </c>
      <c r="G17" s="11">
        <f t="shared" si="7"/>
        <v>6.36308853404476</v>
      </c>
      <c r="H17" s="11">
        <f t="shared" si="8"/>
        <v>631.838173055364</v>
      </c>
      <c r="I17" s="11">
        <f t="shared" si="9"/>
        <v>581.067764230929</v>
      </c>
      <c r="J17" s="4"/>
      <c r="K17" s="5"/>
      <c r="L17" s="5"/>
      <c r="M17" s="5"/>
      <c r="N17" s="5"/>
      <c r="O17" s="5"/>
      <c r="P17" s="5"/>
      <c r="Q17" s="5"/>
      <c r="R17" s="5"/>
    </row>
    <row r="18" spans="1:26">
      <c r="A18" s="10" t="s">
        <v>359</v>
      </c>
      <c r="B18" s="11">
        <v>450.6</v>
      </c>
      <c r="C18" s="11">
        <v>8.2241</v>
      </c>
      <c r="D18" s="11">
        <v>5.6449</v>
      </c>
      <c r="E18" s="11">
        <f t="shared" si="5"/>
        <v>450.6</v>
      </c>
      <c r="F18" s="11">
        <f t="shared" si="6"/>
        <v>6.29929649528307</v>
      </c>
      <c r="G18" s="11">
        <f t="shared" si="7"/>
        <v>6.18024746911885</v>
      </c>
      <c r="H18" s="11">
        <f t="shared" si="8"/>
        <v>544.639895923258</v>
      </c>
      <c r="I18" s="11">
        <f t="shared" si="9"/>
        <v>483.971644333693</v>
      </c>
      <c r="J18" s="4"/>
      <c r="K18" s="5"/>
      <c r="L18" s="5"/>
      <c r="M18" s="5"/>
      <c r="N18" s="5"/>
      <c r="O18" s="5"/>
      <c r="P18" s="5"/>
      <c r="Q18" s="5"/>
      <c r="R18" s="5"/>
    </row>
    <row r="19" spans="1:26">
      <c r="A19" s="10" t="s">
        <v>360</v>
      </c>
      <c r="B19" s="11">
        <v>475.2</v>
      </c>
      <c r="C19" s="11">
        <v>7.0881</v>
      </c>
      <c r="D19" s="11">
        <v>4.7246</v>
      </c>
      <c r="E19" s="11">
        <f t="shared" si="5"/>
        <v>475.2</v>
      </c>
      <c r="F19" s="11">
        <f t="shared" si="6"/>
        <v>6.15064494866652</v>
      </c>
      <c r="G19" s="11">
        <f t="shared" si="7"/>
        <v>6.00227788774351</v>
      </c>
      <c r="H19" s="11">
        <f t="shared" si="8"/>
        <v>469.408451537998</v>
      </c>
      <c r="I19" s="11">
        <f t="shared" si="9"/>
        <v>405.068722354509</v>
      </c>
      <c r="J19" s="4"/>
      <c r="K19" s="5"/>
      <c r="L19" s="5"/>
      <c r="M19" s="5"/>
      <c r="N19" s="5"/>
      <c r="O19" s="5"/>
      <c r="P19" s="5"/>
      <c r="Q19" s="5"/>
      <c r="R19" s="5"/>
    </row>
    <row r="20" spans="1:26">
      <c r="A20" s="10" t="s">
        <v>361</v>
      </c>
      <c r="B20" s="11">
        <v>498.7</v>
      </c>
      <c r="C20" s="11">
        <v>5.9446</v>
      </c>
      <c r="D20" s="11">
        <v>4.0361</v>
      </c>
      <c r="E20" s="11">
        <f t="shared" si="5"/>
        <v>498.7</v>
      </c>
      <c r="F20" s="11">
        <f t="shared" si="6"/>
        <v>5.97471087155878</v>
      </c>
      <c r="G20" s="11">
        <f t="shared" si="7"/>
        <v>5.84477386565734</v>
      </c>
      <c r="H20" s="11">
        <f t="shared" si="8"/>
        <v>393.680320680123</v>
      </c>
      <c r="I20" s="11">
        <f t="shared" si="9"/>
        <v>346.039425622282</v>
      </c>
      <c r="J20" s="4"/>
      <c r="K20" s="5"/>
      <c r="L20" s="5"/>
      <c r="M20" s="5"/>
      <c r="N20" s="5"/>
      <c r="O20" s="5"/>
      <c r="P20" s="5"/>
      <c r="Q20" s="5"/>
      <c r="R20" s="5"/>
      <c r="T20">
        <f t="shared" ref="T20:X20" si="14">AVERAGE(S12:S14)</f>
        <v>7.58634411285289</v>
      </c>
      <c r="V20">
        <f t="shared" si="14"/>
        <v>16.5203832298086</v>
      </c>
      <c r="X20">
        <f t="shared" si="14"/>
        <v>2.02580274213953</v>
      </c>
      <c r="Z20">
        <f>AVERAGE(Y12:Y14)</f>
        <v>2.80449718787728</v>
      </c>
    </row>
    <row r="21" spans="1:26">
      <c r="A21" s="10" t="s">
        <v>362</v>
      </c>
      <c r="B21" s="11">
        <v>522.8</v>
      </c>
      <c r="C21" s="11">
        <v>5.0904</v>
      </c>
      <c r="D21" s="11">
        <v>3.5241</v>
      </c>
      <c r="E21" s="11">
        <f t="shared" si="5"/>
        <v>522.8</v>
      </c>
      <c r="F21" s="11">
        <f t="shared" si="6"/>
        <v>5.81958404004756</v>
      </c>
      <c r="G21" s="11">
        <f t="shared" si="7"/>
        <v>5.7091200709818</v>
      </c>
      <c r="H21" s="11">
        <f t="shared" si="8"/>
        <v>337.111042692544</v>
      </c>
      <c r="I21" s="11">
        <f t="shared" si="9"/>
        <v>302.142548459028</v>
      </c>
      <c r="J21" s="12"/>
    </row>
    <row r="22" spans="1:26">
      <c r="A22" s="10" t="s">
        <v>363</v>
      </c>
      <c r="B22" s="11">
        <v>546.9</v>
      </c>
      <c r="C22" s="11">
        <v>4.4125</v>
      </c>
      <c r="D22" s="11">
        <v>3.0244</v>
      </c>
      <c r="E22" s="11">
        <f t="shared" si="5"/>
        <v>546.9</v>
      </c>
      <c r="F22" s="11">
        <f t="shared" si="6"/>
        <v>5.67666904937053</v>
      </c>
      <c r="G22" s="11">
        <f t="shared" si="7"/>
        <v>5.55620771116797</v>
      </c>
      <c r="H22" s="11">
        <f t="shared" si="8"/>
        <v>292.217208054544</v>
      </c>
      <c r="I22" s="11">
        <f t="shared" si="9"/>
        <v>259.300225180751</v>
      </c>
      <c r="J22" s="12"/>
    </row>
    <row r="23" spans="1:26">
      <c r="A23" s="10" t="s">
        <v>364</v>
      </c>
      <c r="B23" s="11">
        <v>571.9</v>
      </c>
      <c r="C23" s="11">
        <v>3.6608</v>
      </c>
      <c r="D23" s="11">
        <v>2.5278</v>
      </c>
      <c r="E23" s="11">
        <f t="shared" si="5"/>
        <v>571.9</v>
      </c>
      <c r="F23" s="11">
        <f t="shared" si="6"/>
        <v>5.4899093298744</v>
      </c>
      <c r="G23" s="11">
        <f t="shared" si="7"/>
        <v>5.37684434569688</v>
      </c>
      <c r="H23" s="11">
        <f t="shared" si="8"/>
        <v>242.435978526023</v>
      </c>
      <c r="I23" s="11">
        <f t="shared" si="9"/>
        <v>216.723683775923</v>
      </c>
      <c r="J23" s="12"/>
    </row>
    <row r="24" spans="1:26">
      <c r="A24" s="10" t="s">
        <v>365</v>
      </c>
      <c r="B24" s="11">
        <v>595.2</v>
      </c>
      <c r="C24" s="11">
        <v>3.2158</v>
      </c>
      <c r="D24" s="11">
        <v>2.2424</v>
      </c>
      <c r="E24" s="11">
        <f t="shared" si="5"/>
        <v>595.2</v>
      </c>
      <c r="F24" s="11">
        <f t="shared" si="6"/>
        <v>5.36030378743929</v>
      </c>
      <c r="G24" s="11">
        <f t="shared" si="7"/>
        <v>5.25704170733443</v>
      </c>
      <c r="H24" s="11">
        <f t="shared" si="8"/>
        <v>212.965914484261</v>
      </c>
      <c r="I24" s="11">
        <f t="shared" si="9"/>
        <v>192.254604200938</v>
      </c>
      <c r="J24" s="13" t="s">
        <v>366</v>
      </c>
      <c r="K24" s="7">
        <v>598.4</v>
      </c>
      <c r="L24" s="7">
        <v>32.3661</v>
      </c>
      <c r="M24" s="7">
        <v>28.1956</v>
      </c>
      <c r="N24" s="7">
        <f t="shared" ref="N24:N42" si="15">K24</f>
        <v>598.4</v>
      </c>
      <c r="O24" s="7">
        <f t="shared" ref="O24:O42" si="16">LN(L24)+$X$49+$X$42</f>
        <v>5.33395251829245</v>
      </c>
      <c r="P24" s="7">
        <f t="shared" ref="P24:P42" si="17">LN(M24)+$Z$49+$Z$42</f>
        <v>5.23926164914417</v>
      </c>
      <c r="Q24" s="7">
        <f t="shared" ref="Q24:Q42" si="18">L24*$T$42*$T$49</f>
        <v>207.394799249783</v>
      </c>
      <c r="R24" s="7">
        <f t="shared" ref="R24:R42" si="19">M24*$V$42*$V$49</f>
        <v>188.774649712057</v>
      </c>
      <c r="S24">
        <f t="shared" ref="S24:S29" si="20">L24/C24</f>
        <v>10.0647117358045</v>
      </c>
      <c r="U24">
        <f t="shared" ref="U24:U29" si="21">M24/D24</f>
        <v>12.573849447021</v>
      </c>
      <c r="W24">
        <f t="shared" ref="W24:W29" si="22">LN(L24)-LN(C24)</f>
        <v>2.30903541842374</v>
      </c>
      <c r="Y24">
        <f t="shared" ref="Y24:Y29" si="23">LN(M24)-LN(D24)</f>
        <v>2.53161921653314</v>
      </c>
    </row>
    <row r="25" spans="1:26">
      <c r="A25" s="10" t="s">
        <v>367</v>
      </c>
      <c r="B25" s="11">
        <v>619.8</v>
      </c>
      <c r="C25" s="11">
        <v>2.7456</v>
      </c>
      <c r="D25" s="11">
        <v>1.9084</v>
      </c>
      <c r="E25" s="11">
        <f t="shared" si="5"/>
        <v>619.8</v>
      </c>
      <c r="F25" s="11">
        <f t="shared" si="6"/>
        <v>5.20222725742262</v>
      </c>
      <c r="G25" s="11">
        <f t="shared" si="7"/>
        <v>5.0957601811258</v>
      </c>
      <c r="H25" s="11">
        <f t="shared" si="8"/>
        <v>181.826983894517</v>
      </c>
      <c r="I25" s="11">
        <f t="shared" si="9"/>
        <v>163.618750738971</v>
      </c>
      <c r="J25" s="13" t="s">
        <v>368</v>
      </c>
      <c r="K25" s="7">
        <v>619.3</v>
      </c>
      <c r="L25" s="7">
        <v>28.517</v>
      </c>
      <c r="M25" s="7">
        <v>24.56</v>
      </c>
      <c r="N25" s="7">
        <f t="shared" si="15"/>
        <v>619.3</v>
      </c>
      <c r="O25" s="7">
        <f t="shared" si="16"/>
        <v>5.20734134021303</v>
      </c>
      <c r="P25" s="7">
        <f t="shared" si="17"/>
        <v>5.10121481502153</v>
      </c>
      <c r="Q25" s="7">
        <f t="shared" si="18"/>
        <v>182.730619080027</v>
      </c>
      <c r="R25" s="7">
        <f t="shared" si="19"/>
        <v>164.433649112915</v>
      </c>
      <c r="S25">
        <f t="shared" si="20"/>
        <v>10.3864364801865</v>
      </c>
      <c r="U25">
        <f t="shared" si="21"/>
        <v>12.8694194089289</v>
      </c>
      <c r="W25">
        <f t="shared" si="22"/>
        <v>2.34050077036099</v>
      </c>
      <c r="Y25">
        <f t="shared" si="23"/>
        <v>2.55485390861913</v>
      </c>
    </row>
    <row r="26" spans="1:26">
      <c r="A26" s="10" t="s">
        <v>369</v>
      </c>
      <c r="B26" s="11">
        <v>647</v>
      </c>
      <c r="C26" s="11">
        <v>2.2432</v>
      </c>
      <c r="D26" s="11">
        <v>1.6649</v>
      </c>
      <c r="E26" s="11">
        <f t="shared" si="5"/>
        <v>647</v>
      </c>
      <c r="F26" s="11">
        <f t="shared" si="6"/>
        <v>5.00013104496925</v>
      </c>
      <c r="G26" s="11">
        <f t="shared" si="7"/>
        <v>4.95926004803466</v>
      </c>
      <c r="H26" s="11">
        <f t="shared" si="8"/>
        <v>148.555612715684</v>
      </c>
      <c r="I26" s="11">
        <f t="shared" si="9"/>
        <v>142.742013259963</v>
      </c>
      <c r="J26" s="13" t="s">
        <v>370</v>
      </c>
      <c r="K26" s="7">
        <v>645.4</v>
      </c>
      <c r="L26" s="7">
        <v>23.144</v>
      </c>
      <c r="M26" s="7">
        <v>20.9589</v>
      </c>
      <c r="N26" s="7">
        <f t="shared" si="15"/>
        <v>645.4</v>
      </c>
      <c r="O26" s="7">
        <f t="shared" si="16"/>
        <v>4.99857650721437</v>
      </c>
      <c r="P26" s="7">
        <f t="shared" si="17"/>
        <v>4.94265908890223</v>
      </c>
      <c r="Q26" s="7">
        <f t="shared" si="18"/>
        <v>148.301625275735</v>
      </c>
      <c r="R26" s="7">
        <f t="shared" si="19"/>
        <v>140.323632263546</v>
      </c>
      <c r="S26">
        <f t="shared" si="20"/>
        <v>10.3174037089872</v>
      </c>
      <c r="U26">
        <f t="shared" si="21"/>
        <v>12.5886840050453</v>
      </c>
      <c r="W26">
        <f t="shared" si="22"/>
        <v>2.3338321498157</v>
      </c>
      <c r="Y26">
        <f t="shared" si="23"/>
        <v>2.53279831559097</v>
      </c>
    </row>
    <row r="27" spans="1:26">
      <c r="A27" s="10" t="s">
        <v>371</v>
      </c>
      <c r="B27" s="11">
        <v>668.6</v>
      </c>
      <c r="C27" s="11">
        <v>1.9242</v>
      </c>
      <c r="D27" s="11">
        <v>1.3865</v>
      </c>
      <c r="E27" s="11">
        <f t="shared" si="5"/>
        <v>668.6</v>
      </c>
      <c r="F27" s="11">
        <f t="shared" si="6"/>
        <v>4.84673792405614</v>
      </c>
      <c r="G27" s="11">
        <f t="shared" si="7"/>
        <v>4.77627757253968</v>
      </c>
      <c r="H27" s="11">
        <f t="shared" si="8"/>
        <v>127.429881413837</v>
      </c>
      <c r="I27" s="11">
        <f t="shared" si="9"/>
        <v>118.873086302444</v>
      </c>
      <c r="J27" s="13" t="s">
        <v>371</v>
      </c>
      <c r="K27" s="7">
        <v>666.8</v>
      </c>
      <c r="L27" s="7">
        <v>19.6393</v>
      </c>
      <c r="M27" s="7">
        <v>18.8048</v>
      </c>
      <c r="N27" s="7">
        <f t="shared" si="15"/>
        <v>666.8</v>
      </c>
      <c r="O27" s="7">
        <f t="shared" si="16"/>
        <v>4.83437360028382</v>
      </c>
      <c r="P27" s="7">
        <f t="shared" si="17"/>
        <v>4.83420786813904</v>
      </c>
      <c r="Q27" s="7">
        <f t="shared" si="18"/>
        <v>125.844284016494</v>
      </c>
      <c r="R27" s="7">
        <f t="shared" si="19"/>
        <v>125.901542542286</v>
      </c>
      <c r="S27">
        <f t="shared" si="20"/>
        <v>10.2064754183557</v>
      </c>
      <c r="U27">
        <f t="shared" si="21"/>
        <v>13.5627839884602</v>
      </c>
      <c r="W27">
        <f t="shared" si="22"/>
        <v>2.32302236379826</v>
      </c>
      <c r="Y27">
        <f t="shared" si="23"/>
        <v>2.60732957032276</v>
      </c>
    </row>
    <row r="28" spans="1:26">
      <c r="A28" s="10" t="s">
        <v>372</v>
      </c>
      <c r="B28" s="11">
        <v>691.3</v>
      </c>
      <c r="C28" s="11">
        <v>1.6251</v>
      </c>
      <c r="D28" s="11">
        <v>1.1878</v>
      </c>
      <c r="E28" s="11">
        <f t="shared" si="5"/>
        <v>691.3</v>
      </c>
      <c r="F28" s="11">
        <f t="shared" si="6"/>
        <v>4.67779697946094</v>
      </c>
      <c r="G28" s="11">
        <f t="shared" si="7"/>
        <v>4.62159784306561</v>
      </c>
      <c r="H28" s="11">
        <f t="shared" si="8"/>
        <v>107.622024885992</v>
      </c>
      <c r="I28" s="11">
        <f t="shared" si="9"/>
        <v>101.83732557522</v>
      </c>
      <c r="J28" s="13" t="s">
        <v>373</v>
      </c>
      <c r="K28" s="7">
        <v>693.1</v>
      </c>
      <c r="L28" s="7">
        <v>17.3286</v>
      </c>
      <c r="M28" s="7">
        <v>15.3862</v>
      </c>
      <c r="N28" s="7">
        <f t="shared" si="15"/>
        <v>693.1</v>
      </c>
      <c r="O28" s="7">
        <f t="shared" si="16"/>
        <v>4.70919925523848</v>
      </c>
      <c r="P28" s="7">
        <f t="shared" si="17"/>
        <v>4.63356671552495</v>
      </c>
      <c r="Q28" s="7">
        <f t="shared" si="18"/>
        <v>111.037830269318</v>
      </c>
      <c r="R28" s="7">
        <f t="shared" si="19"/>
        <v>103.013396253304</v>
      </c>
      <c r="S28">
        <f t="shared" si="20"/>
        <v>10.6630976555289</v>
      </c>
      <c r="U28">
        <f t="shared" si="21"/>
        <v>12.9535275298872</v>
      </c>
      <c r="W28">
        <f t="shared" si="22"/>
        <v>2.36678896334812</v>
      </c>
      <c r="Y28">
        <f t="shared" si="23"/>
        <v>2.56136814718274</v>
      </c>
    </row>
    <row r="29" spans="1:26">
      <c r="A29" s="10" t="s">
        <v>374</v>
      </c>
      <c r="B29" s="11">
        <v>716.2</v>
      </c>
      <c r="C29" s="11">
        <v>1.4724</v>
      </c>
      <c r="D29" s="11">
        <v>1.0911</v>
      </c>
      <c r="E29" s="11">
        <f t="shared" si="5"/>
        <v>716.2</v>
      </c>
      <c r="F29" s="11">
        <f t="shared" si="6"/>
        <v>4.57912134963385</v>
      </c>
      <c r="G29" s="11">
        <f t="shared" si="7"/>
        <v>4.5366813481449</v>
      </c>
      <c r="H29" s="11">
        <f t="shared" si="8"/>
        <v>97.5094883035719</v>
      </c>
      <c r="I29" s="11">
        <f t="shared" si="9"/>
        <v>93.5466458453635</v>
      </c>
      <c r="J29" s="13" t="s">
        <v>375</v>
      </c>
      <c r="K29" s="7">
        <v>714.3</v>
      </c>
      <c r="L29" s="7">
        <v>15.2722</v>
      </c>
      <c r="M29" s="7">
        <v>13.4048</v>
      </c>
      <c r="N29" s="7">
        <f t="shared" si="15"/>
        <v>714.3</v>
      </c>
      <c r="O29" s="7">
        <f t="shared" si="16"/>
        <v>4.58287512173994</v>
      </c>
      <c r="P29" s="7">
        <f t="shared" si="17"/>
        <v>4.49570856351317</v>
      </c>
      <c r="Q29" s="7">
        <f t="shared" si="18"/>
        <v>97.8608745910855</v>
      </c>
      <c r="R29" s="7">
        <f t="shared" si="19"/>
        <v>89.7475643171339</v>
      </c>
      <c r="S29">
        <f t="shared" si="20"/>
        <v>10.3723173050801</v>
      </c>
      <c r="T29">
        <f t="shared" ref="T29:X29" si="24">AVERAGE(S24:S29)</f>
        <v>10.3350737173238</v>
      </c>
      <c r="U29">
        <f t="shared" si="21"/>
        <v>12.285583356246</v>
      </c>
      <c r="V29">
        <f t="shared" si="24"/>
        <v>12.8056412892648</v>
      </c>
      <c r="W29">
        <f t="shared" si="22"/>
        <v>2.33914045967667</v>
      </c>
      <c r="X29">
        <f t="shared" si="24"/>
        <v>2.33538668757058</v>
      </c>
      <c r="Y29">
        <f t="shared" si="23"/>
        <v>2.50842649009166</v>
      </c>
      <c r="Z29">
        <f>AVERAGE(Y24:Y29)</f>
        <v>2.5493992747234</v>
      </c>
    </row>
    <row r="30" spans="1:26">
      <c r="J30" s="13" t="s">
        <v>376</v>
      </c>
      <c r="K30" s="7">
        <v>740.6</v>
      </c>
      <c r="L30" s="7">
        <v>12.2672</v>
      </c>
      <c r="M30" s="7">
        <v>11.5758</v>
      </c>
      <c r="N30" s="7">
        <f t="shared" si="15"/>
        <v>740.6</v>
      </c>
      <c r="O30" s="7">
        <f t="shared" si="16"/>
        <v>4.36376997336303</v>
      </c>
      <c r="P30" s="7">
        <f t="shared" si="17"/>
        <v>4.34901242379743</v>
      </c>
      <c r="Q30" s="7">
        <f t="shared" si="18"/>
        <v>78.6055002412072</v>
      </c>
      <c r="R30" s="7">
        <f t="shared" si="19"/>
        <v>77.5020779886517</v>
      </c>
    </row>
    <row r="31" spans="1:26">
      <c r="J31" s="13" t="s">
        <v>377</v>
      </c>
      <c r="K31" s="7">
        <v>762.7</v>
      </c>
      <c r="L31" s="7">
        <v>10.075</v>
      </c>
      <c r="M31" s="7">
        <v>10.0367</v>
      </c>
      <c r="N31" s="7">
        <f t="shared" si="15"/>
        <v>762.7</v>
      </c>
      <c r="O31" s="7">
        <f t="shared" si="16"/>
        <v>4.16689804737328</v>
      </c>
      <c r="P31" s="7">
        <f t="shared" si="17"/>
        <v>4.20634408671837</v>
      </c>
      <c r="Q31" s="7">
        <f t="shared" si="18"/>
        <v>64.5583682446004</v>
      </c>
      <c r="R31" s="7">
        <f t="shared" si="19"/>
        <v>67.197524676368</v>
      </c>
    </row>
    <row r="32" spans="1:26">
      <c r="J32" s="13" t="s">
        <v>378</v>
      </c>
      <c r="K32" s="7">
        <v>786.5</v>
      </c>
      <c r="L32" s="7">
        <v>8.6074</v>
      </c>
      <c r="M32" s="7">
        <v>8.618</v>
      </c>
      <c r="N32" s="7">
        <f t="shared" si="15"/>
        <v>786.5</v>
      </c>
      <c r="O32" s="7">
        <f t="shared" si="16"/>
        <v>4.0094632379284</v>
      </c>
      <c r="P32" s="7">
        <f t="shared" si="17"/>
        <v>4.05394875093623</v>
      </c>
      <c r="Q32" s="7">
        <f t="shared" si="18"/>
        <v>55.1543125388162</v>
      </c>
      <c r="R32" s="7">
        <f t="shared" si="19"/>
        <v>57.6990711748821</v>
      </c>
    </row>
    <row r="33" spans="1:26">
      <c r="J33" s="13" t="s">
        <v>379</v>
      </c>
      <c r="K33" s="7">
        <v>811.2</v>
      </c>
      <c r="L33" s="7">
        <v>7.7866</v>
      </c>
      <c r="M33" s="7">
        <v>7.426</v>
      </c>
      <c r="N33" s="7">
        <f t="shared" si="15"/>
        <v>811.2</v>
      </c>
      <c r="O33" s="7">
        <f t="shared" si="16"/>
        <v>3.90924524715197</v>
      </c>
      <c r="P33" s="7">
        <f t="shared" si="17"/>
        <v>3.90508306749748</v>
      </c>
      <c r="Q33" s="7">
        <f t="shared" si="18"/>
        <v>49.8948079576581</v>
      </c>
      <c r="R33" s="7">
        <f t="shared" si="19"/>
        <v>49.7184152407374</v>
      </c>
    </row>
    <row r="34" spans="1:26">
      <c r="J34" s="13" t="s">
        <v>380</v>
      </c>
      <c r="K34" s="7">
        <v>834.3</v>
      </c>
      <c r="L34" s="7">
        <v>6.9594</v>
      </c>
      <c r="M34" s="7">
        <v>6.0055</v>
      </c>
      <c r="N34" s="7">
        <f t="shared" si="15"/>
        <v>834.3</v>
      </c>
      <c r="O34" s="7">
        <f t="shared" si="16"/>
        <v>3.79693420327428</v>
      </c>
      <c r="P34" s="7">
        <f t="shared" si="17"/>
        <v>3.692771427755</v>
      </c>
      <c r="Q34" s="7">
        <f t="shared" si="18"/>
        <v>44.5942935941908</v>
      </c>
      <c r="R34" s="7">
        <f t="shared" si="19"/>
        <v>40.2079104131764</v>
      </c>
    </row>
    <row r="35" spans="1:26">
      <c r="J35" s="13" t="s">
        <v>381</v>
      </c>
      <c r="K35" s="7">
        <v>858.5</v>
      </c>
      <c r="L35" s="7">
        <v>5.9171</v>
      </c>
      <c r="M35" s="7">
        <v>5.2688</v>
      </c>
      <c r="N35" s="7">
        <f t="shared" si="15"/>
        <v>858.5</v>
      </c>
      <c r="O35" s="7">
        <f t="shared" si="16"/>
        <v>3.63468740354859</v>
      </c>
      <c r="P35" s="7">
        <f t="shared" si="17"/>
        <v>3.56189834438255</v>
      </c>
      <c r="Q35" s="7">
        <f t="shared" si="18"/>
        <v>37.9154660784243</v>
      </c>
      <c r="R35" s="7">
        <f t="shared" si="19"/>
        <v>35.2755704579042</v>
      </c>
    </row>
    <row r="36" spans="1:26">
      <c r="J36" s="13" t="s">
        <v>382</v>
      </c>
      <c r="K36" s="7">
        <v>884.4</v>
      </c>
      <c r="L36" s="7">
        <v>4.8827</v>
      </c>
      <c r="M36" s="7">
        <v>4.3354</v>
      </c>
      <c r="N36" s="7">
        <f t="shared" si="15"/>
        <v>884.4</v>
      </c>
      <c r="O36" s="7">
        <f t="shared" si="16"/>
        <v>3.4425392850919</v>
      </c>
      <c r="P36" s="7">
        <f t="shared" si="17"/>
        <v>3.36690958992127</v>
      </c>
      <c r="Q36" s="7">
        <f t="shared" si="18"/>
        <v>31.2872600126958</v>
      </c>
      <c r="R36" s="7">
        <f t="shared" si="19"/>
        <v>29.0262883698751</v>
      </c>
    </row>
    <row r="37" spans="1:26">
      <c r="J37" s="13" t="s">
        <v>383</v>
      </c>
      <c r="K37" s="7">
        <v>910.6</v>
      </c>
      <c r="L37" s="7">
        <v>4.2913</v>
      </c>
      <c r="M37" s="7">
        <v>3.8844</v>
      </c>
      <c r="N37" s="7">
        <f t="shared" si="15"/>
        <v>910.6</v>
      </c>
      <c r="O37" s="7">
        <f t="shared" si="16"/>
        <v>3.31343065687908</v>
      </c>
      <c r="P37" s="7">
        <f t="shared" si="17"/>
        <v>3.25706424348065</v>
      </c>
      <c r="Q37" s="7">
        <f t="shared" si="18"/>
        <v>27.497699816184</v>
      </c>
      <c r="R37" s="7">
        <f t="shared" si="19"/>
        <v>26.0067616699596</v>
      </c>
    </row>
    <row r="38" spans="1:26">
      <c r="J38" s="13" t="s">
        <v>384</v>
      </c>
      <c r="K38" s="7">
        <v>930.8</v>
      </c>
      <c r="L38" s="7">
        <v>3.7597</v>
      </c>
      <c r="M38" s="7">
        <v>3.3931</v>
      </c>
      <c r="N38" s="7">
        <f t="shared" si="15"/>
        <v>930.8</v>
      </c>
      <c r="O38" s="7">
        <f t="shared" si="16"/>
        <v>3.18118010652513</v>
      </c>
      <c r="P38" s="7">
        <f t="shared" si="17"/>
        <v>3.12183966955364</v>
      </c>
      <c r="Q38" s="7">
        <f t="shared" si="18"/>
        <v>24.091324773124</v>
      </c>
      <c r="R38" s="7">
        <f t="shared" si="19"/>
        <v>22.717419169586</v>
      </c>
    </row>
    <row r="39" spans="1:26">
      <c r="A39" s="14" t="s">
        <v>385</v>
      </c>
      <c r="B39" s="8">
        <v>955.8</v>
      </c>
      <c r="C39" s="8">
        <v>9.3495</v>
      </c>
      <c r="D39" s="8">
        <v>8.7072</v>
      </c>
      <c r="E39" s="8">
        <f t="shared" ref="E39:E49" si="25">B39</f>
        <v>955.8</v>
      </c>
      <c r="F39" s="8">
        <f t="shared" ref="F39:F49" si="26">LN(C39)+$X$49</f>
        <v>2.98237556892784</v>
      </c>
      <c r="G39" s="8">
        <f t="shared" ref="G39:G49" si="27">LN(D39)+$Z$49</f>
        <v>2.95245499371464</v>
      </c>
      <c r="H39" s="8">
        <f t="shared" ref="H39:H49" si="28">C39*$T$49</f>
        <v>19.7450685467686</v>
      </c>
      <c r="I39" s="8">
        <f t="shared" ref="I39:I49" si="29">D39*$V$49</f>
        <v>19.1699512677462</v>
      </c>
      <c r="J39" s="13" t="s">
        <v>386</v>
      </c>
      <c r="K39" s="7">
        <v>954.9</v>
      </c>
      <c r="L39" s="7">
        <v>3.0885</v>
      </c>
      <c r="M39" s="7">
        <v>2.9233</v>
      </c>
      <c r="N39" s="7">
        <f t="shared" si="15"/>
        <v>954.9</v>
      </c>
      <c r="O39" s="7">
        <f t="shared" si="16"/>
        <v>2.98452647569435</v>
      </c>
      <c r="P39" s="7">
        <f t="shared" si="17"/>
        <v>2.97280882688501</v>
      </c>
      <c r="Q39" s="7">
        <f t="shared" si="18"/>
        <v>19.790423853444</v>
      </c>
      <c r="R39" s="7">
        <f t="shared" si="19"/>
        <v>19.5720230639978</v>
      </c>
      <c r="S39">
        <f t="shared" ref="S39:S42" si="30">C39/L39</f>
        <v>3.02719766877125</v>
      </c>
      <c r="U39">
        <f t="shared" ref="U39:U42" si="31">D39/M39</f>
        <v>2.97855163684877</v>
      </c>
      <c r="W39">
        <f t="shared" ref="W39:W42" si="32">LN(C39)-LN(L39)</f>
        <v>1.10763732978106</v>
      </c>
      <c r="Y39">
        <f t="shared" ref="Y39:Y42" si="33">LN(D39)-LN(M39)</f>
        <v>1.09143715446437</v>
      </c>
    </row>
    <row r="40" spans="1:26">
      <c r="A40" s="14" t="s">
        <v>387</v>
      </c>
      <c r="B40" s="8">
        <v>978.6</v>
      </c>
      <c r="C40" s="8">
        <v>8.0534</v>
      </c>
      <c r="D40" s="8">
        <v>7.618</v>
      </c>
      <c r="E40" s="8">
        <f t="shared" si="25"/>
        <v>978.6</v>
      </c>
      <c r="F40" s="8">
        <f t="shared" si="26"/>
        <v>2.8331470655029</v>
      </c>
      <c r="G40" s="8">
        <f t="shared" si="27"/>
        <v>2.81881859216426</v>
      </c>
      <c r="H40" s="8">
        <f t="shared" si="28"/>
        <v>17.0078544344132</v>
      </c>
      <c r="I40" s="8">
        <f t="shared" si="29"/>
        <v>16.7719460627631</v>
      </c>
      <c r="J40" s="13" t="s">
        <v>388</v>
      </c>
      <c r="K40" s="7">
        <v>980.1</v>
      </c>
      <c r="L40" s="7">
        <v>2.7037</v>
      </c>
      <c r="M40" s="7">
        <v>2.3946</v>
      </c>
      <c r="N40" s="7">
        <f t="shared" si="15"/>
        <v>980.1</v>
      </c>
      <c r="O40" s="7">
        <f t="shared" si="16"/>
        <v>2.85146214482065</v>
      </c>
      <c r="P40" s="7">
        <f t="shared" si="17"/>
        <v>2.77331191404319</v>
      </c>
      <c r="Q40" s="7">
        <f t="shared" si="18"/>
        <v>17.3247106921018</v>
      </c>
      <c r="R40" s="7">
        <f t="shared" si="19"/>
        <v>16.0322807885092</v>
      </c>
      <c r="S40">
        <f t="shared" si="30"/>
        <v>2.97865887487517</v>
      </c>
      <c r="U40">
        <f t="shared" si="31"/>
        <v>3.18132464712269</v>
      </c>
      <c r="W40">
        <f t="shared" si="32"/>
        <v>1.09147315722983</v>
      </c>
      <c r="Y40">
        <f t="shared" si="33"/>
        <v>1.15729766575581</v>
      </c>
    </row>
    <row r="41" spans="1:26">
      <c r="A41" s="14" t="s">
        <v>389</v>
      </c>
      <c r="B41" s="8">
        <v>1004.5</v>
      </c>
      <c r="C41" s="8">
        <v>6.9757</v>
      </c>
      <c r="D41" s="8">
        <v>6.4746</v>
      </c>
      <c r="E41" s="8">
        <f t="shared" si="25"/>
        <v>1004.5</v>
      </c>
      <c r="F41" s="8">
        <f t="shared" si="26"/>
        <v>2.68948538408776</v>
      </c>
      <c r="G41" s="8">
        <f t="shared" si="27"/>
        <v>2.65619155372346</v>
      </c>
      <c r="H41" s="8">
        <f t="shared" si="28"/>
        <v>14.7318759999672</v>
      </c>
      <c r="I41" s="8">
        <f t="shared" si="29"/>
        <v>14.2546130188981</v>
      </c>
      <c r="J41" s="13" t="s">
        <v>390</v>
      </c>
      <c r="K41" s="7">
        <v>1003.1</v>
      </c>
      <c r="L41" s="7">
        <v>2.2371</v>
      </c>
      <c r="M41" s="7">
        <v>2.1265</v>
      </c>
      <c r="N41" s="7">
        <f t="shared" si="15"/>
        <v>1003.1</v>
      </c>
      <c r="O41" s="7">
        <f t="shared" si="16"/>
        <v>2.66202132377626</v>
      </c>
      <c r="P41" s="7">
        <f t="shared" si="17"/>
        <v>2.65457314745414</v>
      </c>
      <c r="Q41" s="7">
        <f t="shared" si="18"/>
        <v>14.3348412506199</v>
      </c>
      <c r="R41" s="7">
        <f t="shared" si="19"/>
        <v>14.237302721442</v>
      </c>
      <c r="S41">
        <f t="shared" si="30"/>
        <v>3.11818872647624</v>
      </c>
      <c r="U41">
        <f t="shared" si="31"/>
        <v>3.04472137314837</v>
      </c>
      <c r="W41">
        <f t="shared" si="32"/>
        <v>1.13725229685908</v>
      </c>
      <c r="Y41">
        <f t="shared" si="33"/>
        <v>1.11340939390405</v>
      </c>
    </row>
    <row r="42" spans="1:26">
      <c r="A42" s="14" t="s">
        <v>391</v>
      </c>
      <c r="B42" s="8">
        <v>1027.1</v>
      </c>
      <c r="C42" s="8">
        <v>5.8525</v>
      </c>
      <c r="D42" s="8">
        <v>5.2611</v>
      </c>
      <c r="E42" s="8">
        <f t="shared" si="25"/>
        <v>1027.1</v>
      </c>
      <c r="F42" s="8">
        <f t="shared" si="26"/>
        <v>2.51392162337589</v>
      </c>
      <c r="G42" s="8">
        <f t="shared" si="27"/>
        <v>2.44864485446907</v>
      </c>
      <c r="H42" s="8">
        <f t="shared" si="28"/>
        <v>12.3598067992901</v>
      </c>
      <c r="I42" s="8">
        <f t="shared" si="29"/>
        <v>11.5829463679185</v>
      </c>
      <c r="J42" s="13" t="s">
        <v>392</v>
      </c>
      <c r="K42" s="7">
        <v>1028.6</v>
      </c>
      <c r="L42" s="7">
        <v>1.9427</v>
      </c>
      <c r="M42" s="7">
        <v>1.7777</v>
      </c>
      <c r="N42" s="7">
        <f t="shared" si="15"/>
        <v>1028.6</v>
      </c>
      <c r="O42" s="7">
        <f t="shared" si="16"/>
        <v>2.52091969760313</v>
      </c>
      <c r="P42" s="7">
        <f t="shared" si="17"/>
        <v>2.47541610568909</v>
      </c>
      <c r="Q42" s="7">
        <f t="shared" si="18"/>
        <v>12.4483912643956</v>
      </c>
      <c r="R42" s="7">
        <f t="shared" si="19"/>
        <v>11.9020235353432</v>
      </c>
      <c r="S42">
        <f t="shared" si="30"/>
        <v>3.01255983939877</v>
      </c>
      <c r="T42">
        <f t="shared" ref="T42:X42" si="34">AVERAGE(S39:S42)</f>
        <v>3.03415127738036</v>
      </c>
      <c r="U42">
        <f t="shared" si="31"/>
        <v>2.95949822804748</v>
      </c>
      <c r="V42">
        <f t="shared" si="34"/>
        <v>3.04102397129183</v>
      </c>
      <c r="W42">
        <f t="shared" si="32"/>
        <v>1.10279016232033</v>
      </c>
      <c r="X42">
        <f t="shared" si="34"/>
        <v>1.10978823654757</v>
      </c>
      <c r="Y42">
        <f t="shared" si="33"/>
        <v>1.08501973641472</v>
      </c>
      <c r="Z42">
        <f>AVERAGE(Y39:Y42)</f>
        <v>1.11179098763474</v>
      </c>
    </row>
    <row r="43" spans="1:26">
      <c r="A43" s="14" t="s">
        <v>393</v>
      </c>
      <c r="B43" s="8">
        <v>1051.4</v>
      </c>
      <c r="C43" s="8">
        <v>5.0646</v>
      </c>
      <c r="D43" s="8">
        <v>4.7786</v>
      </c>
      <c r="E43" s="8">
        <f t="shared" si="25"/>
        <v>1051.4</v>
      </c>
      <c r="F43" s="8">
        <f t="shared" si="26"/>
        <v>2.36932786422856</v>
      </c>
      <c r="G43" s="8">
        <f t="shared" si="27"/>
        <v>2.35245234068214</v>
      </c>
      <c r="H43" s="8">
        <f t="shared" si="28"/>
        <v>10.6958526297625</v>
      </c>
      <c r="I43" s="8">
        <f t="shared" si="29"/>
        <v>10.520664407393</v>
      </c>
      <c r="J43" s="12"/>
    </row>
    <row r="44" spans="1:26">
      <c r="A44" s="14" t="s">
        <v>394</v>
      </c>
      <c r="B44" s="8">
        <v>1078.7</v>
      </c>
      <c r="C44" s="8">
        <v>4.1184</v>
      </c>
      <c r="D44" s="8">
        <v>3.9617</v>
      </c>
      <c r="E44" s="8">
        <f t="shared" si="25"/>
        <v>1078.7</v>
      </c>
      <c r="F44" s="8">
        <f t="shared" si="26"/>
        <v>2.16251744141263</v>
      </c>
      <c r="G44" s="8">
        <f t="shared" si="27"/>
        <v>2.16497795018369</v>
      </c>
      <c r="H44" s="8">
        <f t="shared" si="28"/>
        <v>8.69758706914933</v>
      </c>
      <c r="I44" s="8">
        <f t="shared" si="29"/>
        <v>8.72216050365562</v>
      </c>
      <c r="J44" s="12"/>
    </row>
    <row r="45" spans="1:26">
      <c r="A45" s="14" t="s">
        <v>395</v>
      </c>
      <c r="B45" s="8">
        <v>1100.6</v>
      </c>
      <c r="C45" s="8">
        <v>3.5286</v>
      </c>
      <c r="D45" s="8">
        <v>3.5564</v>
      </c>
      <c r="E45" s="8">
        <f t="shared" si="25"/>
        <v>1100.6</v>
      </c>
      <c r="F45" s="8">
        <f t="shared" si="26"/>
        <v>2.00795389470479</v>
      </c>
      <c r="G45" s="8">
        <f t="shared" si="27"/>
        <v>2.0570535213727</v>
      </c>
      <c r="H45" s="8">
        <f t="shared" si="28"/>
        <v>7.4519973125972</v>
      </c>
      <c r="I45" s="8">
        <f t="shared" si="29"/>
        <v>7.82984365681421</v>
      </c>
      <c r="J45" s="12"/>
    </row>
    <row r="46" spans="1:26">
      <c r="A46" s="14" t="s">
        <v>396</v>
      </c>
      <c r="B46" s="8">
        <v>1124.1</v>
      </c>
      <c r="C46" s="8">
        <v>3.072</v>
      </c>
      <c r="D46" s="8">
        <v>2.8566</v>
      </c>
      <c r="E46" s="8">
        <f t="shared" si="25"/>
        <v>1124.1</v>
      </c>
      <c r="F46" s="8">
        <f t="shared" si="26"/>
        <v>1.86938151827839</v>
      </c>
      <c r="G46" s="8">
        <f t="shared" si="27"/>
        <v>1.83793683055424</v>
      </c>
      <c r="H46" s="8">
        <f t="shared" si="28"/>
        <v>6.4877106343305</v>
      </c>
      <c r="I46" s="8">
        <f t="shared" si="29"/>
        <v>6.28914953043962</v>
      </c>
      <c r="J46" s="15" t="s">
        <v>397</v>
      </c>
      <c r="K46" s="16">
        <v>1125.9</v>
      </c>
      <c r="L46" s="16">
        <v>6.4235</v>
      </c>
      <c r="M46" s="16">
        <v>6.514</v>
      </c>
      <c r="N46" s="16">
        <f t="shared" ref="N46:N64" si="35">K46</f>
        <v>1125.9</v>
      </c>
      <c r="O46" s="16">
        <f t="shared" ref="O46:O64" si="36">LN(L46)</f>
        <v>1.85996314048953</v>
      </c>
      <c r="P46" s="16">
        <f t="shared" ref="P46:P64" si="37">LN((M46))</f>
        <v>1.87395370685404</v>
      </c>
      <c r="Q46" s="16"/>
      <c r="R46" s="16"/>
      <c r="S46">
        <f t="shared" ref="S46:S49" si="38">L46/C46</f>
        <v>2.09098307291667</v>
      </c>
      <c r="U46">
        <f t="shared" ref="U46:U49" si="39">M46/D46</f>
        <v>2.28033326332003</v>
      </c>
      <c r="W46">
        <f t="shared" ref="W46:W49" si="40">LN(L46)-LN(C46)</f>
        <v>0.737634325204102</v>
      </c>
      <c r="Y46">
        <f t="shared" ref="Y46:Y49" si="41">LN(M46)-LN(D46)</f>
        <v>0.824321600407651</v>
      </c>
    </row>
    <row r="47" spans="1:26">
      <c r="A47" s="14" t="s">
        <v>398</v>
      </c>
      <c r="B47" s="8">
        <v>1149</v>
      </c>
      <c r="C47" s="8">
        <v>2.6407</v>
      </c>
      <c r="D47" s="8">
        <v>2.4715</v>
      </c>
      <c r="E47" s="8">
        <f t="shared" si="25"/>
        <v>1149</v>
      </c>
      <c r="F47" s="8">
        <f t="shared" si="26"/>
        <v>1.71809673651989</v>
      </c>
      <c r="G47" s="8">
        <f t="shared" si="27"/>
        <v>1.69312997787273</v>
      </c>
      <c r="H47" s="8">
        <f t="shared" si="28"/>
        <v>5.57685464585825</v>
      </c>
      <c r="I47" s="8">
        <f t="shared" si="29"/>
        <v>5.44130542059845</v>
      </c>
      <c r="J47" s="15" t="s">
        <v>399</v>
      </c>
      <c r="K47" s="16">
        <v>1147.3</v>
      </c>
      <c r="L47" s="16">
        <v>5.6945</v>
      </c>
      <c r="M47" s="16">
        <v>5.3442</v>
      </c>
      <c r="N47" s="16">
        <f t="shared" si="35"/>
        <v>1147.3</v>
      </c>
      <c r="O47" s="16">
        <f t="shared" si="36"/>
        <v>1.73950079673227</v>
      </c>
      <c r="P47" s="16">
        <f t="shared" si="37"/>
        <v>1.67601186068374</v>
      </c>
      <c r="Q47" s="16"/>
      <c r="R47" s="16"/>
      <c r="S47">
        <f t="shared" si="38"/>
        <v>2.15643579353959</v>
      </c>
      <c r="U47">
        <f t="shared" si="39"/>
        <v>2.16233056848068</v>
      </c>
      <c r="W47">
        <f t="shared" si="40"/>
        <v>0.768456763205343</v>
      </c>
      <c r="Y47">
        <f t="shared" si="41"/>
        <v>0.771186606918865</v>
      </c>
    </row>
    <row r="48" spans="1:26">
      <c r="A48" s="14" t="s">
        <v>400</v>
      </c>
      <c r="B48" s="8">
        <v>1172.3</v>
      </c>
      <c r="C48" s="8">
        <v>2.226</v>
      </c>
      <c r="D48" s="8">
        <v>2.0895</v>
      </c>
      <c r="E48" s="8">
        <f t="shared" si="25"/>
        <v>1172.3</v>
      </c>
      <c r="F48" s="8">
        <f t="shared" si="26"/>
        <v>1.54725895584632</v>
      </c>
      <c r="G48" s="8">
        <f t="shared" si="27"/>
        <v>1.52522952701368</v>
      </c>
      <c r="H48" s="8">
        <f t="shared" si="28"/>
        <v>4.70105594792308</v>
      </c>
      <c r="I48" s="8">
        <f t="shared" si="29"/>
        <v>4.60028633475236</v>
      </c>
      <c r="J48" s="15" t="s">
        <v>401</v>
      </c>
      <c r="K48" s="16">
        <v>1173.7</v>
      </c>
      <c r="L48" s="16">
        <v>4.4758</v>
      </c>
      <c r="M48" s="16">
        <v>4.7954</v>
      </c>
      <c r="N48" s="16">
        <f t="shared" si="35"/>
        <v>1173.7</v>
      </c>
      <c r="O48" s="16">
        <f t="shared" si="36"/>
        <v>1.49868510669892</v>
      </c>
      <c r="P48" s="16">
        <f t="shared" si="37"/>
        <v>1.56765712508553</v>
      </c>
      <c r="Q48" s="16"/>
      <c r="R48" s="16"/>
      <c r="S48">
        <f t="shared" si="38"/>
        <v>2.01069182389937</v>
      </c>
      <c r="U48">
        <f t="shared" si="39"/>
        <v>2.29499880354152</v>
      </c>
      <c r="W48">
        <f t="shared" si="40"/>
        <v>0.698478853845564</v>
      </c>
      <c r="Y48">
        <f t="shared" si="41"/>
        <v>0.8307323221797</v>
      </c>
    </row>
    <row r="49" spans="1:26">
      <c r="A49" s="14" t="s">
        <v>402</v>
      </c>
      <c r="B49" s="8">
        <v>1197.3</v>
      </c>
      <c r="C49" s="8">
        <v>1.8693</v>
      </c>
      <c r="D49" s="8">
        <v>1.966</v>
      </c>
      <c r="E49" s="8">
        <f t="shared" si="25"/>
        <v>1197.3</v>
      </c>
      <c r="F49" s="8">
        <f t="shared" si="26"/>
        <v>1.37261673222911</v>
      </c>
      <c r="G49" s="8">
        <f t="shared" si="27"/>
        <v>1.46430574583283</v>
      </c>
      <c r="H49" s="8">
        <f t="shared" si="28"/>
        <v>3.94774657837044</v>
      </c>
      <c r="I49" s="8">
        <f t="shared" si="29"/>
        <v>4.3283861852707</v>
      </c>
      <c r="J49" s="15" t="s">
        <v>403</v>
      </c>
      <c r="K49" s="16">
        <v>1195.6</v>
      </c>
      <c r="L49" s="16">
        <v>4.0927</v>
      </c>
      <c r="M49" s="16">
        <v>4.0673</v>
      </c>
      <c r="N49" s="16">
        <f t="shared" si="35"/>
        <v>1195.6</v>
      </c>
      <c r="O49" s="16">
        <f t="shared" si="36"/>
        <v>1.40920489895299</v>
      </c>
      <c r="P49" s="16">
        <f t="shared" si="37"/>
        <v>1.40297938865016</v>
      </c>
      <c r="Q49" s="16"/>
      <c r="R49" s="16"/>
      <c r="S49">
        <f t="shared" si="38"/>
        <v>2.18942919809554</v>
      </c>
      <c r="T49">
        <f t="shared" ref="T49:X49" si="42">AVERAGE(S46:S49)</f>
        <v>2.11188497211279</v>
      </c>
      <c r="U49">
        <f t="shared" si="39"/>
        <v>2.06881993896236</v>
      </c>
      <c r="V49">
        <f t="shared" si="42"/>
        <v>2.20162064357615</v>
      </c>
      <c r="W49">
        <f t="shared" si="40"/>
        <v>0.783640869716844</v>
      </c>
      <c r="X49">
        <f t="shared" si="42"/>
        <v>0.747052702992963</v>
      </c>
      <c r="Y49">
        <f t="shared" si="41"/>
        <v>0.726978366925187</v>
      </c>
      <c r="Z49">
        <f>AVERAGE(Y46:Y49)</f>
        <v>0.788304724107851</v>
      </c>
    </row>
    <row r="50" spans="1:26">
      <c r="J50" s="15" t="s">
        <v>404</v>
      </c>
      <c r="K50" s="16">
        <v>1220.5</v>
      </c>
      <c r="L50" s="16">
        <v>3.5148</v>
      </c>
      <c r="M50" s="16">
        <v>3.4455</v>
      </c>
      <c r="N50" s="16">
        <f t="shared" si="35"/>
        <v>1220.5</v>
      </c>
      <c r="O50" s="16">
        <f t="shared" si="36"/>
        <v>1.25698262463955</v>
      </c>
      <c r="P50" s="16">
        <f t="shared" si="37"/>
        <v>1.23706903181513</v>
      </c>
      <c r="Q50" s="16"/>
      <c r="R50" s="16"/>
    </row>
    <row r="51" spans="1:26">
      <c r="J51" s="15" t="s">
        <v>405</v>
      </c>
      <c r="K51" s="16">
        <v>1244.7</v>
      </c>
      <c r="L51" s="16">
        <v>2.9549</v>
      </c>
      <c r="M51" s="16">
        <v>2.7083</v>
      </c>
      <c r="N51" s="16">
        <f t="shared" si="35"/>
        <v>1244.7</v>
      </c>
      <c r="O51" s="16">
        <f t="shared" si="36"/>
        <v>1.0834648093379</v>
      </c>
      <c r="P51" s="16">
        <f t="shared" si="37"/>
        <v>0.996321131779644</v>
      </c>
      <c r="Q51" s="16"/>
      <c r="R51" s="16"/>
    </row>
    <row r="52" spans="1:26">
      <c r="J52" s="15" t="s">
        <v>406</v>
      </c>
      <c r="K52" s="16">
        <v>1268.5</v>
      </c>
      <c r="L52" s="16">
        <v>2.4387</v>
      </c>
      <c r="M52" s="16">
        <v>2.3298</v>
      </c>
      <c r="N52" s="16">
        <f t="shared" si="35"/>
        <v>1268.5</v>
      </c>
      <c r="O52" s="16">
        <f t="shared" si="36"/>
        <v>0.891465110438499</v>
      </c>
      <c r="P52" s="16">
        <f t="shared" si="37"/>
        <v>0.84578242698354</v>
      </c>
      <c r="Q52" s="16"/>
      <c r="R52" s="16"/>
    </row>
    <row r="53" spans="1:26">
      <c r="J53" s="15" t="s">
        <v>407</v>
      </c>
      <c r="K53" s="16">
        <v>1293.2</v>
      </c>
      <c r="L53" s="16">
        <v>2.0991</v>
      </c>
      <c r="M53" s="16">
        <v>1.9721</v>
      </c>
      <c r="N53" s="16">
        <f t="shared" si="35"/>
        <v>1293.2</v>
      </c>
      <c r="O53" s="16">
        <f t="shared" si="36"/>
        <v>0.741508681437824</v>
      </c>
      <c r="P53" s="16">
        <f t="shared" si="37"/>
        <v>0.679098964833886</v>
      </c>
      <c r="Q53" s="16"/>
      <c r="R53" s="16"/>
    </row>
    <row r="54" spans="1:26">
      <c r="J54" s="15" t="s">
        <v>408</v>
      </c>
      <c r="K54" s="16">
        <v>1316.2</v>
      </c>
      <c r="L54" s="16">
        <v>1.7526</v>
      </c>
      <c r="M54" s="16">
        <v>1.717</v>
      </c>
      <c r="N54" s="16">
        <f t="shared" si="35"/>
        <v>1316.2</v>
      </c>
      <c r="O54" s="16">
        <f t="shared" si="36"/>
        <v>0.561100399639613</v>
      </c>
      <c r="P54" s="16">
        <f t="shared" si="37"/>
        <v>0.540578581915339</v>
      </c>
      <c r="Q54" s="16"/>
      <c r="R54" s="16"/>
    </row>
    <row r="55" spans="1:26">
      <c r="J55" s="15" t="s">
        <v>409</v>
      </c>
      <c r="K55" s="16">
        <v>1341.4</v>
      </c>
      <c r="L55" s="16">
        <v>1.4016</v>
      </c>
      <c r="M55" s="16">
        <v>1.6834</v>
      </c>
      <c r="N55" s="16">
        <f t="shared" si="35"/>
        <v>1341.4</v>
      </c>
      <c r="O55" s="16">
        <f t="shared" si="36"/>
        <v>0.33761444119999</v>
      </c>
      <c r="P55" s="16">
        <f t="shared" si="37"/>
        <v>0.520815557795339</v>
      </c>
      <c r="Q55" s="16"/>
      <c r="R55" s="16"/>
    </row>
    <row r="56" spans="1:26">
      <c r="J56" s="15" t="s">
        <v>410</v>
      </c>
      <c r="K56" s="16">
        <v>1365.3</v>
      </c>
      <c r="L56" s="16">
        <v>1.2206</v>
      </c>
      <c r="M56" s="16">
        <v>1.4328</v>
      </c>
      <c r="N56" s="16">
        <f t="shared" si="35"/>
        <v>1365.3</v>
      </c>
      <c r="O56" s="16">
        <f t="shared" si="36"/>
        <v>0.199342541128257</v>
      </c>
      <c r="P56" s="16">
        <f t="shared" si="37"/>
        <v>0.359630571764365</v>
      </c>
      <c r="Q56" s="16"/>
      <c r="R56" s="16"/>
    </row>
    <row r="57" spans="1:26">
      <c r="J57" s="15" t="s">
        <v>411</v>
      </c>
      <c r="K57" s="16">
        <v>1390.4</v>
      </c>
      <c r="L57" s="16">
        <v>1.0252</v>
      </c>
      <c r="M57" s="16">
        <v>1.1128</v>
      </c>
      <c r="N57" s="16">
        <f t="shared" si="35"/>
        <v>1390.4</v>
      </c>
      <c r="O57" s="16">
        <f t="shared" si="36"/>
        <v>0.0248877155077789</v>
      </c>
      <c r="P57" s="16">
        <f t="shared" si="37"/>
        <v>0.106879361627096</v>
      </c>
      <c r="Q57" s="16"/>
      <c r="R57" s="16"/>
    </row>
    <row r="58" spans="1:26">
      <c r="J58" s="15" t="s">
        <v>412</v>
      </c>
      <c r="K58" s="16">
        <v>1419.4</v>
      </c>
      <c r="L58" s="16">
        <v>0.7897</v>
      </c>
      <c r="M58" s="16">
        <v>0.9273</v>
      </c>
      <c r="N58" s="16">
        <f t="shared" si="35"/>
        <v>1419.4</v>
      </c>
      <c r="O58" s="16">
        <f t="shared" si="36"/>
        <v>-0.236102152478602</v>
      </c>
      <c r="P58" s="16">
        <f t="shared" si="37"/>
        <v>-0.0754781411759567</v>
      </c>
      <c r="Q58" s="16"/>
      <c r="R58" s="16"/>
    </row>
    <row r="59" spans="1:26">
      <c r="J59" s="15" t="s">
        <v>413</v>
      </c>
      <c r="K59" s="16">
        <v>1432</v>
      </c>
      <c r="L59" s="16">
        <v>0.7188</v>
      </c>
      <c r="M59" s="16">
        <v>0.8637</v>
      </c>
      <c r="N59" s="16">
        <f t="shared" si="35"/>
        <v>1432</v>
      </c>
      <c r="O59" s="16">
        <f t="shared" si="36"/>
        <v>-0.330172124072733</v>
      </c>
      <c r="P59" s="16">
        <f t="shared" si="37"/>
        <v>-0.146529792695897</v>
      </c>
      <c r="Q59" s="16"/>
      <c r="R59" s="16"/>
    </row>
    <row r="60" spans="1:26">
      <c r="J60" s="15" t="s">
        <v>414</v>
      </c>
      <c r="K60" s="16">
        <v>1468.2</v>
      </c>
      <c r="L60" s="16">
        <v>0.5559</v>
      </c>
      <c r="M60" s="16">
        <v>0.7183</v>
      </c>
      <c r="N60" s="16">
        <f t="shared" si="35"/>
        <v>1468.2</v>
      </c>
      <c r="O60" s="16">
        <f t="shared" si="36"/>
        <v>-0.587166857022713</v>
      </c>
      <c r="P60" s="16">
        <f t="shared" si="37"/>
        <v>-0.330867969901381</v>
      </c>
      <c r="Q60" s="16"/>
      <c r="R60" s="16"/>
    </row>
    <row r="61" spans="1:26">
      <c r="J61" s="15" t="s">
        <v>415</v>
      </c>
      <c r="K61" s="16">
        <v>1487.1</v>
      </c>
      <c r="L61" s="16">
        <v>0.4384</v>
      </c>
      <c r="M61" s="16">
        <v>0.6703</v>
      </c>
      <c r="N61" s="16">
        <f t="shared" si="35"/>
        <v>1487.1</v>
      </c>
      <c r="O61" s="16">
        <f t="shared" si="36"/>
        <v>-0.824623543348331</v>
      </c>
      <c r="P61" s="16">
        <f t="shared" si="37"/>
        <v>-0.400029905618225</v>
      </c>
      <c r="Q61" s="16"/>
      <c r="R61" s="16"/>
    </row>
    <row r="62" spans="1:26">
      <c r="J62" s="15" t="s">
        <v>416</v>
      </c>
      <c r="K62" s="16">
        <v>1516.7</v>
      </c>
      <c r="L62" s="16">
        <v>0.3426</v>
      </c>
      <c r="M62" s="16">
        <v>0.4989</v>
      </c>
      <c r="N62" s="16">
        <f t="shared" si="35"/>
        <v>1516.7</v>
      </c>
      <c r="O62" s="16">
        <f t="shared" si="36"/>
        <v>-1.07119169309212</v>
      </c>
      <c r="P62" s="16">
        <f t="shared" si="37"/>
        <v>-0.695349604115145</v>
      </c>
      <c r="Q62" s="16"/>
      <c r="R62" s="16"/>
    </row>
    <row r="63" spans="1:26">
      <c r="J63" s="15" t="s">
        <v>417</v>
      </c>
      <c r="K63" s="16">
        <v>1527.6</v>
      </c>
      <c r="L63" s="16">
        <v>0.3337</v>
      </c>
      <c r="M63" s="16">
        <v>0.3429</v>
      </c>
      <c r="N63" s="16">
        <f t="shared" si="35"/>
        <v>1527.6</v>
      </c>
      <c r="O63" s="16">
        <f t="shared" si="36"/>
        <v>-1.09751289322481</v>
      </c>
      <c r="P63" s="16">
        <f t="shared" si="37"/>
        <v>-1.07031641951326</v>
      </c>
      <c r="Q63" s="16"/>
      <c r="R63" s="16"/>
    </row>
    <row r="64" spans="1:26">
      <c r="J64" s="15" t="s">
        <v>418</v>
      </c>
      <c r="K64" s="16">
        <v>1566.8</v>
      </c>
      <c r="L64" s="16">
        <v>0.1637</v>
      </c>
      <c r="M64" s="16">
        <v>0.2723</v>
      </c>
      <c r="N64" s="16">
        <f t="shared" si="35"/>
        <v>1566.8</v>
      </c>
      <c r="O64" s="16">
        <f t="shared" si="36"/>
        <v>-1.80971979460505</v>
      </c>
      <c r="P64" s="16">
        <f t="shared" si="37"/>
        <v>-1.30085087930242</v>
      </c>
      <c r="Q64" s="16"/>
      <c r="R64" s="1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"/>
  <sheetViews>
    <sheetView topLeftCell="C42" workbookViewId="0">
      <selection activeCell="N46" sqref="N46:P63"/>
    </sheetView>
  </sheetViews>
  <sheetFormatPr defaultColWidth="9" defaultRowHeight="14.4"/>
  <cols>
    <col min="1" max="1" width="13" customWidth="1"/>
    <col min="2" max="2" width="10.6666666666667" customWidth="1"/>
    <col min="3" max="5" width="12.8888888888889" customWidth="1"/>
    <col min="6" max="7" width="15" customWidth="1"/>
    <col min="8" max="9" width="12.8888888888889" customWidth="1"/>
    <col min="10" max="10" width="13" customWidth="1"/>
    <col min="11" max="11" width="10.6666666666667" customWidth="1"/>
    <col min="12" max="14" width="12.8888888888889" customWidth="1"/>
    <col min="15" max="16" width="15" customWidth="1"/>
    <col min="17" max="20" width="12.8888888888889" customWidth="1"/>
    <col min="21" max="21" width="20.8888888888889" customWidth="1"/>
    <col min="22" max="22" width="12.8888888888889" customWidth="1"/>
    <col min="23" max="26" width="12.8888888888889"/>
  </cols>
  <sheetData>
    <row r="1" ht="17.4" spans="1:25">
      <c r="A1" s="1" t="s">
        <v>324</v>
      </c>
      <c r="B1" s="1" t="s">
        <v>325</v>
      </c>
      <c r="C1" s="1">
        <v>747</v>
      </c>
      <c r="D1" s="1">
        <v>633</v>
      </c>
      <c r="E1" s="1"/>
      <c r="F1" s="1" t="s">
        <v>329</v>
      </c>
      <c r="G1" s="1" t="s">
        <v>330</v>
      </c>
      <c r="H1" s="1" t="s">
        <v>331</v>
      </c>
      <c r="I1" s="1" t="s">
        <v>332</v>
      </c>
      <c r="J1" s="2" t="s">
        <v>333</v>
      </c>
      <c r="K1" s="1" t="s">
        <v>325</v>
      </c>
      <c r="L1" s="1" t="s">
        <v>334</v>
      </c>
      <c r="M1" s="1" t="s">
        <v>327</v>
      </c>
      <c r="N1" s="1"/>
      <c r="O1" s="1" t="s">
        <v>329</v>
      </c>
      <c r="P1" s="1" t="s">
        <v>330</v>
      </c>
      <c r="Q1" s="1" t="s">
        <v>331</v>
      </c>
      <c r="R1" s="1" t="s">
        <v>332</v>
      </c>
      <c r="S1" s="1"/>
      <c r="U1" t="s">
        <v>335</v>
      </c>
    </row>
    <row r="2" spans="1:25">
      <c r="A2" s="3" t="s">
        <v>336</v>
      </c>
      <c r="J2" s="4" t="s">
        <v>336</v>
      </c>
      <c r="K2" s="5">
        <v>56.2</v>
      </c>
      <c r="L2" s="5">
        <v>14.0641</v>
      </c>
      <c r="M2" s="5">
        <v>4.0998</v>
      </c>
      <c r="N2" s="5">
        <f t="shared" ref="N2:N14" si="0">K2</f>
        <v>56.2</v>
      </c>
      <c r="O2" s="5">
        <f t="shared" ref="O2:O14" si="1">LN(L2)+$X$49+$X$42+$X$29+$X$20</f>
        <v>8.86022337573542</v>
      </c>
      <c r="P2" s="5">
        <f t="shared" ref="P2:P14" si="2">LN(M2)+$Z$49+$Z$42+$Z$29+$Z$20</f>
        <v>8.75170523234257</v>
      </c>
      <c r="Q2" s="5">
        <f t="shared" ref="Q2:Q14" si="3">L2*$T$20*$T$29*$T$42*$T$49</f>
        <v>7053.70435903598</v>
      </c>
      <c r="R2" s="5">
        <f t="shared" ref="R2:R14" si="4">M2*$V$20*$V$29*$V$42*$V$49</f>
        <v>6328.81194638729</v>
      </c>
      <c r="U2" s="5" t="s">
        <v>337</v>
      </c>
    </row>
    <row r="3" spans="1:25">
      <c r="A3" s="3" t="s">
        <v>338</v>
      </c>
      <c r="J3" s="4" t="s">
        <v>338</v>
      </c>
      <c r="K3" s="5">
        <v>91.3</v>
      </c>
      <c r="L3" s="5">
        <v>10.8812</v>
      </c>
      <c r="M3" s="5">
        <v>3.356</v>
      </c>
      <c r="N3" s="5">
        <f t="shared" si="0"/>
        <v>91.3</v>
      </c>
      <c r="O3" s="5">
        <f t="shared" si="1"/>
        <v>8.6036344539287</v>
      </c>
      <c r="P3" s="5">
        <f t="shared" si="2"/>
        <v>8.55151682891488</v>
      </c>
      <c r="Q3" s="5">
        <f t="shared" si="3"/>
        <v>5457.35367862446</v>
      </c>
      <c r="R3" s="5">
        <f t="shared" si="4"/>
        <v>5180.61683303472</v>
      </c>
      <c r="U3" s="6" t="s">
        <v>339</v>
      </c>
    </row>
    <row r="4" spans="1:25">
      <c r="A4" s="3" t="s">
        <v>340</v>
      </c>
      <c r="J4" s="4" t="s">
        <v>340</v>
      </c>
      <c r="K4" s="5">
        <v>114.8</v>
      </c>
      <c r="L4" s="5">
        <v>9.4603</v>
      </c>
      <c r="M4" s="5">
        <v>2.9646</v>
      </c>
      <c r="N4" s="5">
        <f t="shared" si="0"/>
        <v>114.8</v>
      </c>
      <c r="O4" s="5">
        <f t="shared" si="1"/>
        <v>8.46370201949973</v>
      </c>
      <c r="P4" s="5">
        <f t="shared" si="2"/>
        <v>8.42750915640754</v>
      </c>
      <c r="Q4" s="5">
        <f t="shared" si="3"/>
        <v>4744.71593260771</v>
      </c>
      <c r="R4" s="5">
        <f t="shared" si="4"/>
        <v>4576.41736091023</v>
      </c>
      <c r="U4" s="7" t="s">
        <v>341</v>
      </c>
    </row>
    <row r="5" spans="1:25">
      <c r="A5" s="3" t="s">
        <v>342</v>
      </c>
      <c r="J5" s="4" t="s">
        <v>342</v>
      </c>
      <c r="K5" s="5">
        <v>138.7</v>
      </c>
      <c r="L5" s="5">
        <v>8.1186</v>
      </c>
      <c r="M5" s="5">
        <v>2.6057</v>
      </c>
      <c r="N5" s="5">
        <f t="shared" si="0"/>
        <v>138.7</v>
      </c>
      <c r="O5" s="5">
        <f t="shared" si="1"/>
        <v>8.31075564998072</v>
      </c>
      <c r="P5" s="5">
        <f t="shared" si="2"/>
        <v>8.29846839342962</v>
      </c>
      <c r="Q5" s="5">
        <f t="shared" si="3"/>
        <v>4071.80013006659</v>
      </c>
      <c r="R5" s="5">
        <f t="shared" si="4"/>
        <v>4022.38774786608</v>
      </c>
      <c r="U5" s="8" t="s">
        <v>343</v>
      </c>
    </row>
    <row r="6" spans="1:25">
      <c r="A6" s="3" t="s">
        <v>344</v>
      </c>
      <c r="J6" s="4" t="s">
        <v>344</v>
      </c>
      <c r="K6" s="5">
        <v>162.9</v>
      </c>
      <c r="L6" s="5">
        <v>6.7688</v>
      </c>
      <c r="M6" s="5">
        <v>2.2551</v>
      </c>
      <c r="N6" s="5">
        <f t="shared" si="0"/>
        <v>162.9</v>
      </c>
      <c r="O6" s="5">
        <f t="shared" si="1"/>
        <v>8.12892174309336</v>
      </c>
      <c r="P6" s="5">
        <f t="shared" si="2"/>
        <v>8.15396135817932</v>
      </c>
      <c r="Q6" s="5">
        <f t="shared" si="3"/>
        <v>3394.82185603364</v>
      </c>
      <c r="R6" s="5">
        <f t="shared" si="4"/>
        <v>3481.17074498707</v>
      </c>
      <c r="U6" s="9" t="s">
        <v>345</v>
      </c>
    </row>
    <row r="7" spans="1:25">
      <c r="A7" s="3" t="s">
        <v>346</v>
      </c>
      <c r="J7" s="4" t="s">
        <v>346</v>
      </c>
      <c r="K7" s="5">
        <v>186.7</v>
      </c>
      <c r="L7" s="5">
        <v>6.1559</v>
      </c>
      <c r="M7" s="5">
        <v>1.7572</v>
      </c>
      <c r="N7" s="5">
        <f t="shared" si="0"/>
        <v>186.7</v>
      </c>
      <c r="O7" s="5">
        <f t="shared" si="1"/>
        <v>8.03400889599541</v>
      </c>
      <c r="P7" s="5">
        <f t="shared" si="2"/>
        <v>7.90448867342941</v>
      </c>
      <c r="Q7" s="5">
        <f t="shared" si="3"/>
        <v>3087.4281798188</v>
      </c>
      <c r="R7" s="5">
        <f t="shared" si="4"/>
        <v>2712.56850387623</v>
      </c>
    </row>
    <row r="8" spans="1:25">
      <c r="A8" s="3" t="s">
        <v>347</v>
      </c>
      <c r="J8" s="4" t="s">
        <v>347</v>
      </c>
      <c r="K8" s="5">
        <v>211.2</v>
      </c>
      <c r="L8" s="5">
        <v>5.0744</v>
      </c>
      <c r="M8" s="5">
        <v>1.5851</v>
      </c>
      <c r="N8" s="5">
        <f t="shared" si="0"/>
        <v>211.2</v>
      </c>
      <c r="O8" s="5">
        <f t="shared" si="1"/>
        <v>7.84080621580275</v>
      </c>
      <c r="P8" s="5">
        <f t="shared" si="2"/>
        <v>7.80141453713163</v>
      </c>
      <c r="Q8" s="5">
        <f t="shared" si="3"/>
        <v>2545.01300470646</v>
      </c>
      <c r="R8" s="5">
        <f t="shared" si="4"/>
        <v>2446.89980394617</v>
      </c>
    </row>
    <row r="9" spans="1:25">
      <c r="A9" s="3" t="s">
        <v>348</v>
      </c>
      <c r="J9" s="4" t="s">
        <v>348</v>
      </c>
      <c r="K9" s="5">
        <v>235.7</v>
      </c>
      <c r="L9" s="5">
        <v>4.2538</v>
      </c>
      <c r="M9" s="5">
        <v>1.3632</v>
      </c>
      <c r="N9" s="5">
        <f t="shared" si="0"/>
        <v>235.7</v>
      </c>
      <c r="O9" s="5">
        <f t="shared" si="1"/>
        <v>7.66441062556351</v>
      </c>
      <c r="P9" s="5">
        <f t="shared" si="2"/>
        <v>7.65060191740284</v>
      </c>
      <c r="Q9" s="5">
        <f t="shared" si="3"/>
        <v>2133.44953480616</v>
      </c>
      <c r="R9" s="5">
        <f t="shared" si="4"/>
        <v>2104.35544302531</v>
      </c>
    </row>
    <row r="10" spans="1:25">
      <c r="A10" s="3" t="s">
        <v>349</v>
      </c>
      <c r="J10" s="4" t="s">
        <v>349</v>
      </c>
      <c r="K10" s="5">
        <v>260.1</v>
      </c>
      <c r="L10" s="5">
        <v>3.6513</v>
      </c>
      <c r="M10" s="5">
        <v>1.1325</v>
      </c>
      <c r="N10" s="5">
        <f t="shared" si="0"/>
        <v>260.1</v>
      </c>
      <c r="O10" s="5">
        <f t="shared" si="1"/>
        <v>7.51168119303169</v>
      </c>
      <c r="P10" s="5">
        <f t="shared" si="2"/>
        <v>7.46519461868497</v>
      </c>
      <c r="Q10" s="5">
        <f t="shared" si="3"/>
        <v>1831.27187137094</v>
      </c>
      <c r="R10" s="5">
        <f t="shared" si="4"/>
        <v>1748.22662795346</v>
      </c>
    </row>
    <row r="11" spans="1:25">
      <c r="A11" s="3" t="s">
        <v>350</v>
      </c>
      <c r="J11" s="4" t="s">
        <v>350</v>
      </c>
      <c r="K11" s="5">
        <v>284.3</v>
      </c>
      <c r="L11" s="5">
        <v>3.026</v>
      </c>
      <c r="M11" s="5">
        <v>0.9821</v>
      </c>
      <c r="N11" s="5">
        <f t="shared" si="0"/>
        <v>284.3</v>
      </c>
      <c r="O11" s="5">
        <f t="shared" si="1"/>
        <v>7.32383953983137</v>
      </c>
      <c r="P11" s="5">
        <f t="shared" si="2"/>
        <v>7.32270489749151</v>
      </c>
      <c r="Q11" s="5">
        <f t="shared" si="3"/>
        <v>1517.65910299577</v>
      </c>
      <c r="R11" s="5">
        <f t="shared" si="4"/>
        <v>1516.05595700936</v>
      </c>
    </row>
    <row r="12" spans="1:25">
      <c r="A12" s="10" t="s">
        <v>351</v>
      </c>
      <c r="B12" s="11">
        <v>309.2</v>
      </c>
      <c r="C12" s="11">
        <v>20.9821</v>
      </c>
      <c r="D12" s="11">
        <v>14.5046</v>
      </c>
      <c r="E12" s="11">
        <f t="shared" ref="E12:E29" si="5">B12</f>
        <v>309.2</v>
      </c>
      <c r="F12" s="11">
        <f t="shared" ref="F12:F29" si="6">LN(C12)+$X$49+$X$42+$X$29</f>
        <v>7.21277668855702</v>
      </c>
      <c r="G12" s="11">
        <f t="shared" ref="G12:G29" si="7">LN(D12)+$Z$49+$Z$42+$Z$29</f>
        <v>7.14341560151259</v>
      </c>
      <c r="H12" s="11">
        <f t="shared" ref="H12:H29" si="8">C12*$T$29*$T$42*$T$49</f>
        <v>1358.04616000065</v>
      </c>
      <c r="I12" s="11">
        <f t="shared" ref="I12:I29" si="9">D12*$V$29*$V$42*$V$49</f>
        <v>1266.65000600342</v>
      </c>
      <c r="J12" s="4" t="s">
        <v>351</v>
      </c>
      <c r="K12" s="5">
        <v>308.1</v>
      </c>
      <c r="L12" s="5">
        <v>2.6744</v>
      </c>
      <c r="M12" s="5">
        <v>0.808</v>
      </c>
      <c r="N12" s="5">
        <f t="shared" si="0"/>
        <v>308.1</v>
      </c>
      <c r="O12" s="5">
        <f t="shared" si="1"/>
        <v>7.20032298058896</v>
      </c>
      <c r="P12" s="5">
        <f t="shared" si="2"/>
        <v>7.12757381984888</v>
      </c>
      <c r="Q12" s="5">
        <f t="shared" si="3"/>
        <v>1341.3177478691</v>
      </c>
      <c r="R12" s="5">
        <f t="shared" si="4"/>
        <v>1247.29988113589</v>
      </c>
      <c r="S12">
        <f t="shared" ref="S12:S14" si="10">C12/L12</f>
        <v>7.84553544720311</v>
      </c>
      <c r="U12">
        <f t="shared" ref="U12:U14" si="11">D12/M12</f>
        <v>17.9512376237624</v>
      </c>
      <c r="W12">
        <f t="shared" ref="W12:W14" si="12">LN(C12)-LN(L12)</f>
        <v>2.05994463716408</v>
      </c>
      <c r="Y12">
        <f t="shared" ref="Y12:Y14" si="13">LN(D12)-LN(M12)</f>
        <v>2.88765906095647</v>
      </c>
    </row>
    <row r="13" spans="1:25">
      <c r="A13" s="10" t="s">
        <v>352</v>
      </c>
      <c r="B13" s="11">
        <v>330.6</v>
      </c>
      <c r="C13" s="11">
        <v>17.7485</v>
      </c>
      <c r="D13" s="11">
        <v>12.8052</v>
      </c>
      <c r="E13" s="11">
        <f t="shared" si="5"/>
        <v>330.6</v>
      </c>
      <c r="F13" s="11">
        <f t="shared" si="6"/>
        <v>7.04540800057744</v>
      </c>
      <c r="G13" s="11">
        <f t="shared" si="7"/>
        <v>7.01880109944554</v>
      </c>
      <c r="H13" s="11">
        <f t="shared" si="8"/>
        <v>1148.75452270133</v>
      </c>
      <c r="I13" s="11">
        <f t="shared" si="9"/>
        <v>1118.24570528488</v>
      </c>
      <c r="J13" s="4" t="s">
        <v>353</v>
      </c>
      <c r="K13" s="5">
        <v>331.8</v>
      </c>
      <c r="L13" s="5">
        <v>2.2869</v>
      </c>
      <c r="M13" s="5">
        <v>0.706</v>
      </c>
      <c r="N13" s="5">
        <f t="shared" si="0"/>
        <v>331.8</v>
      </c>
      <c r="O13" s="5">
        <f t="shared" si="1"/>
        <v>7.04379511314541</v>
      </c>
      <c r="P13" s="5">
        <f t="shared" si="2"/>
        <v>6.99262699882103</v>
      </c>
      <c r="Q13" s="5">
        <f t="shared" si="3"/>
        <v>1146.9711178589</v>
      </c>
      <c r="R13" s="5">
        <f t="shared" si="4"/>
        <v>1089.8437080222</v>
      </c>
      <c r="S13">
        <f t="shared" si="10"/>
        <v>7.76094276094276</v>
      </c>
      <c r="U13">
        <f t="shared" si="11"/>
        <v>18.1376770538244</v>
      </c>
      <c r="W13">
        <f t="shared" si="12"/>
        <v>2.04910381662805</v>
      </c>
      <c r="Y13">
        <f t="shared" si="13"/>
        <v>2.89799137991728</v>
      </c>
    </row>
    <row r="14" spans="1:25">
      <c r="A14" s="10" t="s">
        <v>354</v>
      </c>
      <c r="B14" s="11">
        <v>356.5</v>
      </c>
      <c r="C14" s="11">
        <v>15.2636</v>
      </c>
      <c r="D14" s="11">
        <v>10.2991</v>
      </c>
      <c r="E14" s="11">
        <f t="shared" si="5"/>
        <v>356.5</v>
      </c>
      <c r="F14" s="11">
        <f t="shared" si="6"/>
        <v>6.89457790418102</v>
      </c>
      <c r="G14" s="11">
        <f t="shared" si="7"/>
        <v>6.80100627379424</v>
      </c>
      <c r="H14" s="11">
        <f t="shared" si="8"/>
        <v>987.921769879368</v>
      </c>
      <c r="I14" s="11">
        <f t="shared" si="9"/>
        <v>899.394335371528</v>
      </c>
      <c r="J14" s="4" t="s">
        <v>355</v>
      </c>
      <c r="K14" s="5">
        <v>355.6</v>
      </c>
      <c r="L14" s="5">
        <v>1.9978</v>
      </c>
      <c r="M14" s="5">
        <v>0.6079</v>
      </c>
      <c r="N14" s="5">
        <f t="shared" si="0"/>
        <v>355.6</v>
      </c>
      <c r="O14" s="5">
        <f t="shared" si="1"/>
        <v>6.90864449958112</v>
      </c>
      <c r="P14" s="5">
        <f t="shared" si="2"/>
        <v>6.84302215608246</v>
      </c>
      <c r="Q14" s="5">
        <f t="shared" si="3"/>
        <v>1001.97599337903</v>
      </c>
      <c r="R14" s="5">
        <f t="shared" si="4"/>
        <v>938.407917998155</v>
      </c>
      <c r="S14">
        <f t="shared" si="10"/>
        <v>7.64020422464711</v>
      </c>
      <c r="U14">
        <f t="shared" si="11"/>
        <v>16.9420957394308</v>
      </c>
      <c r="W14">
        <f t="shared" si="12"/>
        <v>2.03342433379592</v>
      </c>
      <c r="Y14">
        <f t="shared" si="13"/>
        <v>2.82980139700454</v>
      </c>
    </row>
    <row r="15" spans="1:25">
      <c r="A15" s="10" t="s">
        <v>356</v>
      </c>
      <c r="B15" s="11">
        <v>378.6</v>
      </c>
      <c r="C15" s="11">
        <v>13.1276</v>
      </c>
      <c r="D15" s="11">
        <v>9.2286</v>
      </c>
      <c r="E15" s="11">
        <f t="shared" si="5"/>
        <v>378.6</v>
      </c>
      <c r="F15" s="11">
        <f t="shared" si="6"/>
        <v>6.7438238793667</v>
      </c>
      <c r="G15" s="11">
        <f t="shared" si="7"/>
        <v>6.69125711872084</v>
      </c>
      <c r="H15" s="11">
        <f t="shared" si="8"/>
        <v>849.67123262326</v>
      </c>
      <c r="I15" s="11">
        <f t="shared" si="9"/>
        <v>805.910279870055</v>
      </c>
      <c r="J15" s="4"/>
      <c r="K15" s="5"/>
      <c r="L15" s="5"/>
      <c r="M15" s="5"/>
      <c r="N15" s="5"/>
      <c r="O15" s="5"/>
      <c r="P15" s="5"/>
      <c r="Q15" s="5"/>
      <c r="R15" s="5"/>
    </row>
    <row r="16" spans="1:25">
      <c r="A16" s="10" t="s">
        <v>357</v>
      </c>
      <c r="B16" s="11">
        <v>426.7</v>
      </c>
      <c r="C16" s="11">
        <v>9.7253</v>
      </c>
      <c r="D16" s="11">
        <v>6.6814</v>
      </c>
      <c r="E16" s="11">
        <f t="shared" si="5"/>
        <v>426.7</v>
      </c>
      <c r="F16" s="11">
        <f t="shared" si="6"/>
        <v>6.44383773262695</v>
      </c>
      <c r="G16" s="11">
        <f t="shared" si="7"/>
        <v>6.36827730744504</v>
      </c>
      <c r="H16" s="11">
        <f t="shared" si="8"/>
        <v>629.460650738215</v>
      </c>
      <c r="I16" s="11">
        <f t="shared" si="9"/>
        <v>583.469750983225</v>
      </c>
      <c r="J16" s="4"/>
      <c r="K16" s="5"/>
      <c r="L16" s="5"/>
      <c r="M16" s="5"/>
      <c r="N16" s="5"/>
      <c r="O16" s="5"/>
      <c r="P16" s="5"/>
      <c r="Q16" s="5"/>
      <c r="R16" s="5"/>
    </row>
    <row r="17" spans="1:26">
      <c r="A17" s="10" t="s">
        <v>358</v>
      </c>
      <c r="B17" s="11">
        <v>426.5</v>
      </c>
      <c r="C17" s="11">
        <v>9.5408</v>
      </c>
      <c r="D17" s="11">
        <v>6.7774</v>
      </c>
      <c r="E17" s="11">
        <f t="shared" si="5"/>
        <v>426.5</v>
      </c>
      <c r="F17" s="11">
        <f t="shared" si="6"/>
        <v>6.42468433465589</v>
      </c>
      <c r="G17" s="11">
        <f t="shared" si="7"/>
        <v>6.38254330859593</v>
      </c>
      <c r="H17" s="11">
        <f t="shared" si="8"/>
        <v>617.519066410616</v>
      </c>
      <c r="I17" s="11">
        <f t="shared" si="9"/>
        <v>591.853188001572</v>
      </c>
      <c r="J17" s="4"/>
      <c r="K17" s="5"/>
      <c r="L17" s="5"/>
      <c r="M17" s="5"/>
      <c r="N17" s="5"/>
      <c r="O17" s="5"/>
      <c r="P17" s="5"/>
      <c r="Q17" s="5"/>
      <c r="R17" s="5"/>
    </row>
    <row r="18" spans="1:26">
      <c r="A18" s="10" t="s">
        <v>359</v>
      </c>
      <c r="B18" s="11">
        <v>450.8</v>
      </c>
      <c r="C18" s="11">
        <v>8.377</v>
      </c>
      <c r="D18" s="11">
        <v>5.7142</v>
      </c>
      <c r="E18" s="11">
        <f t="shared" si="5"/>
        <v>450.8</v>
      </c>
      <c r="F18" s="11">
        <f t="shared" si="6"/>
        <v>6.29459685044086</v>
      </c>
      <c r="G18" s="11">
        <f t="shared" si="7"/>
        <v>6.21190406596328</v>
      </c>
      <c r="H18" s="11">
        <f t="shared" si="8"/>
        <v>542.193235297012</v>
      </c>
      <c r="I18" s="11">
        <f t="shared" si="9"/>
        <v>499.00662302337</v>
      </c>
      <c r="J18" s="4" t="s">
        <v>419</v>
      </c>
      <c r="K18" s="5">
        <v>453.3</v>
      </c>
      <c r="L18" s="5">
        <v>1.0784</v>
      </c>
      <c r="M18" s="5">
        <v>0.3336</v>
      </c>
      <c r="N18" s="5">
        <f t="shared" ref="N15:N20" si="14">K18</f>
        <v>453.3</v>
      </c>
      <c r="O18" s="5">
        <f t="shared" ref="O15:O20" si="15">LN(L18)+$X$49+$X$42+$X$29+$X$20</f>
        <v>6.29207638564111</v>
      </c>
      <c r="P18" s="5">
        <f t="shared" ref="P15:P20" si="16">LN(M18)+$Z$49+$Z$42+$Z$29+$Z$20</f>
        <v>6.24295443181238</v>
      </c>
      <c r="Q18" s="5">
        <f t="shared" ref="Q15:Q20" si="17">L18*$T$20*$T$29*$T$42*$T$49</f>
        <v>540.860402072255</v>
      </c>
      <c r="R18" s="5">
        <f t="shared" ref="R15:R20" si="18">M18*$V$20*$V$29*$V$42*$V$49</f>
        <v>514.974307360067</v>
      </c>
    </row>
    <row r="19" spans="1:26">
      <c r="A19" s="10" t="s">
        <v>360</v>
      </c>
      <c r="B19" s="11">
        <v>475.4</v>
      </c>
      <c r="C19" s="11">
        <v>7.1836</v>
      </c>
      <c r="D19" s="11">
        <v>4.7273</v>
      </c>
      <c r="E19" s="11">
        <f t="shared" si="5"/>
        <v>475.4</v>
      </c>
      <c r="F19" s="11">
        <f t="shared" si="6"/>
        <v>6.14090764543163</v>
      </c>
      <c r="G19" s="11">
        <f t="shared" si="7"/>
        <v>6.02230397601434</v>
      </c>
      <c r="H19" s="11">
        <f t="shared" si="8"/>
        <v>464.951572768248</v>
      </c>
      <c r="I19" s="11">
        <f t="shared" si="9"/>
        <v>412.823143925374</v>
      </c>
      <c r="J19" s="4" t="s">
        <v>420</v>
      </c>
      <c r="K19" s="5">
        <v>477.5</v>
      </c>
      <c r="L19" s="5">
        <v>0.9089</v>
      </c>
      <c r="M19" s="5">
        <v>0.2813</v>
      </c>
      <c r="N19" s="5">
        <f t="shared" si="14"/>
        <v>477.5</v>
      </c>
      <c r="O19" s="5">
        <f t="shared" si="15"/>
        <v>6.12107772260779</v>
      </c>
      <c r="P19" s="5">
        <f t="shared" si="16"/>
        <v>6.0724334768236</v>
      </c>
      <c r="Q19" s="5">
        <f t="shared" si="17"/>
        <v>455.849424558116</v>
      </c>
      <c r="R19" s="5">
        <f t="shared" si="18"/>
        <v>434.239426440008</v>
      </c>
    </row>
    <row r="20" spans="1:26">
      <c r="A20" s="10" t="s">
        <v>361</v>
      </c>
      <c r="B20" s="11">
        <v>499</v>
      </c>
      <c r="C20" s="11">
        <v>6.1778</v>
      </c>
      <c r="D20" s="11">
        <v>4.3869</v>
      </c>
      <c r="E20" s="11">
        <f t="shared" si="5"/>
        <v>499</v>
      </c>
      <c r="F20" s="11">
        <f t="shared" si="6"/>
        <v>5.99006921630534</v>
      </c>
      <c r="G20" s="11">
        <f t="shared" si="7"/>
        <v>5.94757258832096</v>
      </c>
      <c r="H20" s="11">
        <f t="shared" si="8"/>
        <v>399.852139073401</v>
      </c>
      <c r="I20" s="11">
        <f t="shared" si="9"/>
        <v>383.096873497816</v>
      </c>
      <c r="J20" s="4" t="s">
        <v>421</v>
      </c>
      <c r="K20" s="5">
        <v>501.6</v>
      </c>
      <c r="L20" s="5">
        <v>0.7618</v>
      </c>
      <c r="M20" s="5">
        <v>0.2401</v>
      </c>
      <c r="N20" s="5">
        <f t="shared" si="14"/>
        <v>501.6</v>
      </c>
      <c r="O20" s="5">
        <f t="shared" si="15"/>
        <v>5.94452669952757</v>
      </c>
      <c r="P20" s="5">
        <f t="shared" si="16"/>
        <v>5.91406726455499</v>
      </c>
      <c r="Q20" s="5">
        <f t="shared" si="17"/>
        <v>382.072936107793</v>
      </c>
      <c r="R20" s="5">
        <f t="shared" si="18"/>
        <v>370.639482005851</v>
      </c>
      <c r="T20">
        <f t="shared" ref="T20:X20" si="19">AVERAGE(S12:S14)</f>
        <v>7.74889414426433</v>
      </c>
      <c r="V20">
        <f t="shared" si="19"/>
        <v>17.6770034723392</v>
      </c>
      <c r="X20">
        <f t="shared" si="19"/>
        <v>2.04749092919602</v>
      </c>
      <c r="Z20">
        <f>AVERAGE(Y12:Y14)</f>
        <v>2.87181727929276</v>
      </c>
    </row>
    <row r="21" spans="1:26">
      <c r="A21" s="10" t="s">
        <v>362</v>
      </c>
      <c r="B21" s="11">
        <v>523.1</v>
      </c>
      <c r="C21" s="11">
        <v>5.1642</v>
      </c>
      <c r="D21" s="11">
        <v>3.5172</v>
      </c>
      <c r="E21" s="11">
        <f t="shared" si="5"/>
        <v>523.1</v>
      </c>
      <c r="F21" s="11">
        <f t="shared" si="6"/>
        <v>5.81085719717054</v>
      </c>
      <c r="G21" s="11">
        <f t="shared" si="7"/>
        <v>5.72661497953987</v>
      </c>
      <c r="H21" s="11">
        <f t="shared" si="8"/>
        <v>334.247857911045</v>
      </c>
      <c r="I21" s="11">
        <f t="shared" si="9"/>
        <v>307.148173759721</v>
      </c>
      <c r="J21" s="12"/>
    </row>
    <row r="22" spans="1:26">
      <c r="A22" s="10" t="s">
        <v>363</v>
      </c>
      <c r="B22" s="11">
        <v>547.3</v>
      </c>
      <c r="C22" s="11">
        <v>4.463</v>
      </c>
      <c r="D22" s="11">
        <v>3.0139</v>
      </c>
      <c r="E22" s="11">
        <f t="shared" si="5"/>
        <v>547.3</v>
      </c>
      <c r="F22" s="11">
        <f t="shared" si="6"/>
        <v>5.66492818091632</v>
      </c>
      <c r="G22" s="11">
        <f t="shared" si="7"/>
        <v>5.57218468217071</v>
      </c>
      <c r="H22" s="11">
        <f t="shared" si="8"/>
        <v>288.863365062739</v>
      </c>
      <c r="I22" s="11">
        <f t="shared" si="9"/>
        <v>263.196258641653</v>
      </c>
      <c r="J22" s="12"/>
    </row>
    <row r="23" spans="1:26">
      <c r="A23" s="10" t="s">
        <v>364</v>
      </c>
      <c r="B23" s="11">
        <v>572.4</v>
      </c>
      <c r="C23" s="11">
        <v>3.7255</v>
      </c>
      <c r="D23" s="11">
        <v>2.5697</v>
      </c>
      <c r="E23" s="11">
        <f t="shared" si="5"/>
        <v>572.4</v>
      </c>
      <c r="F23" s="11">
        <f t="shared" si="6"/>
        <v>5.48430806628083</v>
      </c>
      <c r="G23" s="11">
        <f t="shared" si="7"/>
        <v>5.41273892159312</v>
      </c>
      <c r="H23" s="11">
        <f t="shared" si="8"/>
        <v>241.12938976949</v>
      </c>
      <c r="I23" s="11">
        <f t="shared" si="9"/>
        <v>224.405396938006</v>
      </c>
      <c r="J23" s="12"/>
    </row>
    <row r="24" spans="1:26">
      <c r="A24" s="10" t="s">
        <v>365</v>
      </c>
      <c r="B24" s="11">
        <v>595.7</v>
      </c>
      <c r="C24" s="11">
        <v>3.2618</v>
      </c>
      <c r="D24" s="11">
        <v>2.196</v>
      </c>
      <c r="E24" s="11">
        <f t="shared" si="5"/>
        <v>595.7</v>
      </c>
      <c r="F24" s="11">
        <f t="shared" si="6"/>
        <v>5.35138618550987</v>
      </c>
      <c r="G24" s="11">
        <f t="shared" si="7"/>
        <v>5.25558728466444</v>
      </c>
      <c r="H24" s="11">
        <f t="shared" si="8"/>
        <v>211.116855066467</v>
      </c>
      <c r="I24" s="11">
        <f t="shared" si="9"/>
        <v>191.771121794708</v>
      </c>
      <c r="J24" s="13" t="s">
        <v>366</v>
      </c>
      <c r="K24" s="7">
        <v>598.4</v>
      </c>
      <c r="L24" s="7">
        <v>33.7744</v>
      </c>
      <c r="M24" s="7">
        <v>29.5727</v>
      </c>
      <c r="N24" s="7">
        <f t="shared" ref="N24:N42" si="20">K24</f>
        <v>598.4</v>
      </c>
      <c r="O24" s="7">
        <f t="shared" ref="O24:O42" si="21">LN(L24)+$X$49+$X$42</f>
        <v>5.33768251956211</v>
      </c>
      <c r="P24" s="7">
        <f t="shared" ref="P24:P42" si="22">LN(M24)+$Z$49+$Z$42</f>
        <v>5.26252499041832</v>
      </c>
      <c r="Q24" s="7">
        <f t="shared" ref="Q24:Q42" si="23">L24*$T$42*$T$49</f>
        <v>208.238301610299</v>
      </c>
      <c r="R24" s="7">
        <f t="shared" ref="R24:R42" si="24">M24*$V$42*$V$49</f>
        <v>193.04102765186</v>
      </c>
      <c r="S24">
        <f t="shared" ref="S24:S29" si="25">L24/C24</f>
        <v>10.3545281746275</v>
      </c>
      <c r="U24">
        <f t="shared" ref="U24:U29" si="26">M24/D24</f>
        <v>13.466621129326</v>
      </c>
      <c r="W24">
        <f t="shared" ref="W24:W29" si="27">LN(L24)-LN(C24)</f>
        <v>2.33742392882899</v>
      </c>
      <c r="Y24">
        <f t="shared" ref="Y24:Y29" si="28">LN(M24)-LN(D24)</f>
        <v>2.60021411480759</v>
      </c>
    </row>
    <row r="25" spans="1:26">
      <c r="A25" s="10" t="s">
        <v>367</v>
      </c>
      <c r="B25" s="11">
        <v>620.4</v>
      </c>
      <c r="C25" s="11">
        <v>2.7495</v>
      </c>
      <c r="D25" s="11">
        <v>1.8773</v>
      </c>
      <c r="E25" s="11">
        <f t="shared" si="5"/>
        <v>620.4</v>
      </c>
      <c r="F25" s="11">
        <f t="shared" si="6"/>
        <v>5.18052607223492</v>
      </c>
      <c r="G25" s="11">
        <f t="shared" si="7"/>
        <v>5.09878433536534</v>
      </c>
      <c r="H25" s="11">
        <f t="shared" si="8"/>
        <v>177.958732296662</v>
      </c>
      <c r="I25" s="11">
        <f t="shared" si="9"/>
        <v>163.939857443172</v>
      </c>
      <c r="J25" s="13" t="s">
        <v>368</v>
      </c>
      <c r="K25" s="7">
        <v>619</v>
      </c>
      <c r="L25" s="7">
        <v>29.1353</v>
      </c>
      <c r="M25" s="7">
        <v>25.6645</v>
      </c>
      <c r="N25" s="7">
        <f t="shared" si="20"/>
        <v>619</v>
      </c>
      <c r="O25" s="7">
        <f t="shared" si="21"/>
        <v>5.18992989792824</v>
      </c>
      <c r="P25" s="7">
        <f t="shared" si="22"/>
        <v>5.12078206600141</v>
      </c>
      <c r="Q25" s="7">
        <f t="shared" si="23"/>
        <v>179.635623102306</v>
      </c>
      <c r="R25" s="7">
        <f t="shared" si="24"/>
        <v>167.529561188906</v>
      </c>
      <c r="S25">
        <f t="shared" si="25"/>
        <v>10.5965811965812</v>
      </c>
      <c r="U25">
        <f t="shared" si="26"/>
        <v>13.670963617962</v>
      </c>
      <c r="W25">
        <f t="shared" si="27"/>
        <v>2.36053142047006</v>
      </c>
      <c r="Y25">
        <f t="shared" si="28"/>
        <v>2.61527413968978</v>
      </c>
    </row>
    <row r="26" spans="1:26">
      <c r="A26" s="10" t="s">
        <v>369</v>
      </c>
      <c r="B26" s="11">
        <v>646.6</v>
      </c>
      <c r="C26" s="11">
        <v>2.2888</v>
      </c>
      <c r="D26" s="11">
        <v>1.6153</v>
      </c>
      <c r="E26" s="11">
        <f t="shared" si="5"/>
        <v>646.6</v>
      </c>
      <c r="F26" s="11">
        <f t="shared" si="6"/>
        <v>4.99713465802295</v>
      </c>
      <c r="G26" s="11">
        <f t="shared" si="7"/>
        <v>4.94847045895473</v>
      </c>
      <c r="H26" s="11">
        <f t="shared" si="8"/>
        <v>148.140369696526</v>
      </c>
      <c r="I26" s="11">
        <f t="shared" si="9"/>
        <v>141.060060580597</v>
      </c>
      <c r="J26" s="13" t="s">
        <v>370</v>
      </c>
      <c r="K26" s="7">
        <v>645.6</v>
      </c>
      <c r="L26" s="7">
        <v>24.0223</v>
      </c>
      <c r="M26" s="7">
        <v>21.5929</v>
      </c>
      <c r="N26" s="7">
        <f t="shared" si="20"/>
        <v>645.6</v>
      </c>
      <c r="O26" s="7">
        <f t="shared" si="21"/>
        <v>4.99696196609892</v>
      </c>
      <c r="P26" s="7">
        <f t="shared" si="22"/>
        <v>4.94803790891496</v>
      </c>
      <c r="Q26" s="7">
        <f t="shared" si="23"/>
        <v>148.111082736424</v>
      </c>
      <c r="R26" s="7">
        <f t="shared" si="24"/>
        <v>140.951472337117</v>
      </c>
      <c r="S26">
        <f t="shared" si="25"/>
        <v>10.4955872072702</v>
      </c>
      <c r="U26">
        <f t="shared" si="26"/>
        <v>13.3677335479478</v>
      </c>
      <c r="W26">
        <f t="shared" si="27"/>
        <v>2.35095490285271</v>
      </c>
      <c r="Y26">
        <f t="shared" si="28"/>
        <v>2.59284385901394</v>
      </c>
    </row>
    <row r="27" spans="1:26">
      <c r="A27" s="10" t="s">
        <v>371</v>
      </c>
      <c r="B27" s="11">
        <v>668.1</v>
      </c>
      <c r="C27" s="11">
        <v>1.9465</v>
      </c>
      <c r="D27" s="11">
        <v>1.4143</v>
      </c>
      <c r="E27" s="11">
        <f t="shared" si="5"/>
        <v>668.1</v>
      </c>
      <c r="F27" s="11">
        <f t="shared" si="6"/>
        <v>4.83513988333756</v>
      </c>
      <c r="G27" s="11">
        <f t="shared" si="7"/>
        <v>4.81558447006148</v>
      </c>
      <c r="H27" s="11">
        <f t="shared" si="8"/>
        <v>125.985332757029</v>
      </c>
      <c r="I27" s="11">
        <f t="shared" si="9"/>
        <v>123.507239323431</v>
      </c>
      <c r="J27" s="13" t="s">
        <v>371</v>
      </c>
      <c r="K27" s="7">
        <v>666.4</v>
      </c>
      <c r="L27" s="7">
        <v>20.5051</v>
      </c>
      <c r="M27" s="7">
        <v>18.9671</v>
      </c>
      <c r="N27" s="7">
        <f t="shared" si="20"/>
        <v>666.4</v>
      </c>
      <c r="O27" s="7">
        <f t="shared" si="21"/>
        <v>4.83865303618388</v>
      </c>
      <c r="P27" s="7">
        <f t="shared" si="22"/>
        <v>4.81837925126681</v>
      </c>
      <c r="Q27" s="7">
        <f t="shared" si="23"/>
        <v>126.425553032751</v>
      </c>
      <c r="R27" s="7">
        <f t="shared" si="24"/>
        <v>123.81109860025</v>
      </c>
      <c r="S27">
        <f t="shared" si="25"/>
        <v>10.5343436938094</v>
      </c>
      <c r="U27">
        <f t="shared" si="26"/>
        <v>13.4109453439864</v>
      </c>
      <c r="W27">
        <f t="shared" si="27"/>
        <v>2.35464074762306</v>
      </c>
      <c r="Y27">
        <f t="shared" si="28"/>
        <v>2.59607119025904</v>
      </c>
    </row>
    <row r="28" spans="1:26">
      <c r="A28" s="10" t="s">
        <v>372</v>
      </c>
      <c r="B28" s="11">
        <v>691.9</v>
      </c>
      <c r="C28" s="11">
        <v>1.6563</v>
      </c>
      <c r="D28" s="11">
        <v>1.1856</v>
      </c>
      <c r="E28" s="11">
        <f t="shared" si="5"/>
        <v>691.9</v>
      </c>
      <c r="F28" s="11">
        <f t="shared" si="6"/>
        <v>4.67369319424516</v>
      </c>
      <c r="G28" s="11">
        <f t="shared" si="7"/>
        <v>4.63919873657684</v>
      </c>
      <c r="H28" s="11">
        <f t="shared" si="8"/>
        <v>107.20241800435</v>
      </c>
      <c r="I28" s="11">
        <f t="shared" si="9"/>
        <v>103.535447176596</v>
      </c>
      <c r="J28" s="13" t="s">
        <v>373</v>
      </c>
      <c r="K28" s="7">
        <v>692.9</v>
      </c>
      <c r="L28" s="7">
        <v>17.4375</v>
      </c>
      <c r="M28" s="7">
        <v>16.2329</v>
      </c>
      <c r="N28" s="7">
        <f t="shared" si="20"/>
        <v>692.9</v>
      </c>
      <c r="O28" s="7">
        <f t="shared" si="21"/>
        <v>4.67660246007403</v>
      </c>
      <c r="P28" s="7">
        <f t="shared" si="22"/>
        <v>4.66271339898242</v>
      </c>
      <c r="Q28" s="7">
        <f t="shared" si="23"/>
        <v>107.512061926476</v>
      </c>
      <c r="R28" s="7">
        <f t="shared" si="24"/>
        <v>105.963124698451</v>
      </c>
      <c r="S28">
        <f t="shared" si="25"/>
        <v>10.5279840608585</v>
      </c>
      <c r="U28">
        <f t="shared" si="26"/>
        <v>13.6917172739541</v>
      </c>
      <c r="W28">
        <f t="shared" si="27"/>
        <v>2.35403686060561</v>
      </c>
      <c r="Y28">
        <f t="shared" si="28"/>
        <v>2.61679107145928</v>
      </c>
    </row>
    <row r="29" spans="1:26">
      <c r="A29" s="10" t="s">
        <v>374</v>
      </c>
      <c r="B29" s="11">
        <v>715.7</v>
      </c>
      <c r="C29" s="11">
        <v>1.4838</v>
      </c>
      <c r="D29" s="11">
        <v>1.0998</v>
      </c>
      <c r="E29" s="11">
        <f t="shared" si="5"/>
        <v>715.7</v>
      </c>
      <c r="F29" s="11">
        <f t="shared" si="6"/>
        <v>4.56371336004248</v>
      </c>
      <c r="G29" s="11">
        <f t="shared" si="7"/>
        <v>4.56407810610874</v>
      </c>
      <c r="H29" s="11">
        <f t="shared" si="8"/>
        <v>96.037522088302</v>
      </c>
      <c r="I29" s="11">
        <f t="shared" si="9"/>
        <v>96.042750341448</v>
      </c>
      <c r="J29" s="13" t="s">
        <v>375</v>
      </c>
      <c r="K29" s="7">
        <v>714.5</v>
      </c>
      <c r="L29" s="7">
        <v>15.5457</v>
      </c>
      <c r="M29" s="7">
        <v>13.9237</v>
      </c>
      <c r="N29" s="7">
        <f t="shared" si="20"/>
        <v>714.5</v>
      </c>
      <c r="O29" s="7">
        <f t="shared" si="21"/>
        <v>4.56176347354576</v>
      </c>
      <c r="P29" s="7">
        <f t="shared" si="22"/>
        <v>4.50926577614764</v>
      </c>
      <c r="Q29" s="7">
        <f t="shared" si="23"/>
        <v>95.8480436467626</v>
      </c>
      <c r="R29" s="7">
        <f t="shared" si="24"/>
        <v>90.8894134359125</v>
      </c>
      <c r="S29">
        <f t="shared" si="25"/>
        <v>10.476951071573</v>
      </c>
      <c r="T29">
        <f t="shared" ref="T29:X29" si="29">AVERAGE(S24:S29)</f>
        <v>10.4976625674533</v>
      </c>
      <c r="U29">
        <f t="shared" si="26"/>
        <v>12.660210947445</v>
      </c>
      <c r="V29">
        <f t="shared" si="29"/>
        <v>13.3780319767702</v>
      </c>
      <c r="W29">
        <f t="shared" si="27"/>
        <v>2.34917770828003</v>
      </c>
      <c r="X29">
        <f t="shared" si="29"/>
        <v>2.35112759477675</v>
      </c>
      <c r="Y29">
        <f t="shared" si="28"/>
        <v>2.53846407909261</v>
      </c>
      <c r="Z29">
        <f>AVERAGE(Y24:Y29)</f>
        <v>2.59327640905371</v>
      </c>
    </row>
    <row r="30" spans="1:26">
      <c r="J30" s="13" t="s">
        <v>376</v>
      </c>
      <c r="K30" s="7">
        <v>740.8</v>
      </c>
      <c r="L30" s="7">
        <v>12.6726</v>
      </c>
      <c r="M30" s="7">
        <v>11.7506</v>
      </c>
      <c r="N30" s="7">
        <f t="shared" si="20"/>
        <v>740.8</v>
      </c>
      <c r="O30" s="7">
        <f t="shared" si="21"/>
        <v>4.35742158292846</v>
      </c>
      <c r="P30" s="7">
        <f t="shared" si="22"/>
        <v>4.33957765507969</v>
      </c>
      <c r="Q30" s="7">
        <f t="shared" si="23"/>
        <v>78.1337551810445</v>
      </c>
      <c r="R30" s="7">
        <f t="shared" si="24"/>
        <v>76.7041189856168</v>
      </c>
    </row>
    <row r="31" spans="1:26">
      <c r="J31" s="13" t="s">
        <v>377</v>
      </c>
      <c r="K31" s="7">
        <v>762.9</v>
      </c>
      <c r="L31" s="7">
        <v>10.1329</v>
      </c>
      <c r="M31" s="7">
        <v>10.4062</v>
      </c>
      <c r="N31" s="7">
        <f t="shared" si="20"/>
        <v>762.9</v>
      </c>
      <c r="O31" s="7">
        <f t="shared" si="21"/>
        <v>4.13376695616424</v>
      </c>
      <c r="P31" s="7">
        <f t="shared" si="22"/>
        <v>4.21807513432782</v>
      </c>
      <c r="Q31" s="7">
        <f t="shared" si="23"/>
        <v>62.4750665115293</v>
      </c>
      <c r="R31" s="7">
        <f t="shared" si="24"/>
        <v>67.928310298038</v>
      </c>
    </row>
    <row r="32" spans="1:26">
      <c r="J32" s="13" t="s">
        <v>378</v>
      </c>
      <c r="K32" s="7">
        <v>786.7</v>
      </c>
      <c r="L32" s="7">
        <v>9.2388</v>
      </c>
      <c r="M32" s="7">
        <v>8.5264</v>
      </c>
      <c r="N32" s="7">
        <f t="shared" si="20"/>
        <v>786.7</v>
      </c>
      <c r="O32" s="7">
        <f t="shared" si="21"/>
        <v>4.04139140758231</v>
      </c>
      <c r="P32" s="7">
        <f t="shared" si="22"/>
        <v>4.01884058452383</v>
      </c>
      <c r="Q32" s="7">
        <f t="shared" si="23"/>
        <v>56.9624337047357</v>
      </c>
      <c r="R32" s="7">
        <f t="shared" si="24"/>
        <v>55.6575834526716</v>
      </c>
    </row>
    <row r="33" spans="1:26">
      <c r="J33" s="13" t="s">
        <v>379</v>
      </c>
      <c r="K33" s="7">
        <v>811.4</v>
      </c>
      <c r="L33" s="7">
        <v>7.9287</v>
      </c>
      <c r="M33" s="7">
        <v>7.3795</v>
      </c>
      <c r="N33" s="7">
        <f t="shared" si="20"/>
        <v>811.4</v>
      </c>
      <c r="O33" s="7">
        <f t="shared" si="21"/>
        <v>3.88846848827425</v>
      </c>
      <c r="P33" s="7">
        <f t="shared" si="22"/>
        <v>3.87437923760314</v>
      </c>
      <c r="Q33" s="7">
        <f t="shared" si="23"/>
        <v>48.8849253273952</v>
      </c>
      <c r="R33" s="7">
        <f t="shared" si="24"/>
        <v>48.1709909327489</v>
      </c>
    </row>
    <row r="34" spans="1:26">
      <c r="J34" s="13" t="s">
        <v>380</v>
      </c>
      <c r="K34" s="7">
        <v>834.5</v>
      </c>
      <c r="L34" s="7">
        <v>7.1049</v>
      </c>
      <c r="M34" s="7">
        <v>6.5777</v>
      </c>
      <c r="N34" s="7">
        <f t="shared" si="20"/>
        <v>834.5</v>
      </c>
      <c r="O34" s="7">
        <f t="shared" si="21"/>
        <v>3.7787640873471</v>
      </c>
      <c r="P34" s="7">
        <f t="shared" si="22"/>
        <v>3.75935849212296</v>
      </c>
      <c r="Q34" s="7">
        <f t="shared" si="23"/>
        <v>43.805731829759</v>
      </c>
      <c r="R34" s="7">
        <f t="shared" si="24"/>
        <v>42.9370996759052</v>
      </c>
    </row>
    <row r="35" spans="1:26">
      <c r="J35" s="13" t="s">
        <v>381</v>
      </c>
      <c r="K35" s="7">
        <v>858.7</v>
      </c>
      <c r="L35" s="7">
        <v>6.0381</v>
      </c>
      <c r="M35" s="7">
        <v>5.396</v>
      </c>
      <c r="N35" s="7">
        <f t="shared" si="20"/>
        <v>858.7</v>
      </c>
      <c r="O35" s="7">
        <f t="shared" si="21"/>
        <v>3.61606879341537</v>
      </c>
      <c r="P35" s="7">
        <f t="shared" si="22"/>
        <v>3.56133129030896</v>
      </c>
      <c r="Q35" s="7">
        <f t="shared" si="23"/>
        <v>37.2283057272119</v>
      </c>
      <c r="R35" s="7">
        <f t="shared" si="24"/>
        <v>35.2233440034031</v>
      </c>
    </row>
    <row r="36" spans="1:26">
      <c r="J36" s="13" t="s">
        <v>382</v>
      </c>
      <c r="K36" s="7">
        <v>884.6</v>
      </c>
      <c r="L36" s="7">
        <v>5.0718</v>
      </c>
      <c r="M36" s="7">
        <v>4.7102</v>
      </c>
      <c r="N36" s="7">
        <f t="shared" si="20"/>
        <v>884.6</v>
      </c>
      <c r="O36" s="7">
        <f t="shared" si="21"/>
        <v>3.44167518467324</v>
      </c>
      <c r="P36" s="7">
        <f t="shared" si="22"/>
        <v>3.42540372193527</v>
      </c>
      <c r="Q36" s="7">
        <f t="shared" si="23"/>
        <v>31.2705190353378</v>
      </c>
      <c r="R36" s="7">
        <f t="shared" si="24"/>
        <v>30.7466632551574</v>
      </c>
    </row>
    <row r="37" spans="1:26">
      <c r="J37" s="13" t="s">
        <v>383</v>
      </c>
      <c r="K37" s="7">
        <v>910.9</v>
      </c>
      <c r="L37" s="7">
        <v>4.1858</v>
      </c>
      <c r="M37" s="7">
        <v>3.9305</v>
      </c>
      <c r="N37" s="7">
        <f t="shared" si="20"/>
        <v>910.9</v>
      </c>
      <c r="O37" s="7">
        <f t="shared" si="21"/>
        <v>3.24967724506618</v>
      </c>
      <c r="P37" s="7">
        <f t="shared" si="22"/>
        <v>3.24443999621512</v>
      </c>
      <c r="Q37" s="7">
        <f t="shared" si="23"/>
        <v>25.8078273153746</v>
      </c>
      <c r="R37" s="7">
        <f t="shared" si="24"/>
        <v>25.6570336555552</v>
      </c>
    </row>
    <row r="38" spans="1:26">
      <c r="J38" s="13" t="s">
        <v>384</v>
      </c>
      <c r="K38" s="7">
        <v>931.1</v>
      </c>
      <c r="L38" s="7">
        <v>3.7798</v>
      </c>
      <c r="M38" s="7">
        <v>3.3546</v>
      </c>
      <c r="N38" s="7">
        <f t="shared" si="20"/>
        <v>931.1</v>
      </c>
      <c r="O38" s="7">
        <f t="shared" si="21"/>
        <v>3.14765049867124</v>
      </c>
      <c r="P38" s="7">
        <f t="shared" si="22"/>
        <v>3.08600589024197</v>
      </c>
      <c r="Q38" s="7">
        <f t="shared" si="23"/>
        <v>23.3046074075811</v>
      </c>
      <c r="R38" s="7">
        <f t="shared" si="24"/>
        <v>21.8977445874381</v>
      </c>
    </row>
    <row r="39" spans="1:26">
      <c r="A39" s="14" t="s">
        <v>385</v>
      </c>
      <c r="B39" s="8">
        <v>955.7</v>
      </c>
      <c r="C39" s="8">
        <v>9.323</v>
      </c>
      <c r="D39" s="8">
        <v>8.9806</v>
      </c>
      <c r="E39" s="8">
        <f t="shared" ref="E39:E49" si="30">B39</f>
        <v>955.7</v>
      </c>
      <c r="F39" s="8">
        <f t="shared" ref="F39:F49" si="31">LN(C39)+$X$49</f>
        <v>2.9853872378104</v>
      </c>
      <c r="G39" s="8">
        <f t="shared" ref="G39:G49" si="32">LN(D39)+$Z$49</f>
        <v>2.94579979883962</v>
      </c>
      <c r="H39" s="8">
        <f t="shared" ref="H39:H49" si="33">C39*$T$49</f>
        <v>19.8125192798802</v>
      </c>
      <c r="I39" s="8">
        <f t="shared" ref="I39:I49" si="34">D39*$V$49</f>
        <v>19.0293600658732</v>
      </c>
      <c r="J39" s="13" t="s">
        <v>386</v>
      </c>
      <c r="K39" s="7">
        <v>955.2</v>
      </c>
      <c r="L39" s="7">
        <v>3.1689</v>
      </c>
      <c r="M39" s="7">
        <v>2.8404</v>
      </c>
      <c r="N39" s="7">
        <f t="shared" si="20"/>
        <v>955.2</v>
      </c>
      <c r="O39" s="7">
        <f t="shared" si="21"/>
        <v>2.97136392500753</v>
      </c>
      <c r="P39" s="7">
        <f t="shared" si="22"/>
        <v>2.91961823928925</v>
      </c>
      <c r="Q39" s="7">
        <f t="shared" si="23"/>
        <v>19.5380629699676</v>
      </c>
      <c r="R39" s="7">
        <f t="shared" si="24"/>
        <v>18.5412131777736</v>
      </c>
      <c r="S39">
        <f t="shared" ref="S39:S42" si="35">C39/L39</f>
        <v>2.94203035753732</v>
      </c>
      <c r="U39">
        <f t="shared" ref="U39:U42" si="36">D39/M39</f>
        <v>3.16173778341079</v>
      </c>
      <c r="W39">
        <f t="shared" ref="W39:W42" si="37">LN(C39)-LN(L39)</f>
        <v>1.07909994079947</v>
      </c>
      <c r="Y39">
        <f t="shared" ref="Y39:Y42" si="38">LN(D39)-LN(M39)</f>
        <v>1.15112180790104</v>
      </c>
    </row>
    <row r="40" spans="1:26">
      <c r="A40" s="14" t="s">
        <v>387</v>
      </c>
      <c r="B40" s="8">
        <v>978.8</v>
      </c>
      <c r="C40" s="8">
        <v>8</v>
      </c>
      <c r="D40" s="8">
        <v>7.5496</v>
      </c>
      <c r="E40" s="8">
        <f t="shared" si="30"/>
        <v>978.8</v>
      </c>
      <c r="F40" s="8">
        <f t="shared" si="31"/>
        <v>2.83234431417568</v>
      </c>
      <c r="G40" s="8">
        <f t="shared" si="32"/>
        <v>2.77222768533776</v>
      </c>
      <c r="H40" s="8">
        <f t="shared" si="33"/>
        <v>17.0009818984277</v>
      </c>
      <c r="I40" s="8">
        <f t="shared" si="34"/>
        <v>15.9971557304986</v>
      </c>
      <c r="J40" s="13" t="s">
        <v>388</v>
      </c>
      <c r="K40" s="7">
        <v>979.7</v>
      </c>
      <c r="L40" s="7">
        <v>2.78</v>
      </c>
      <c r="M40" s="7">
        <v>2.434</v>
      </c>
      <c r="N40" s="7">
        <f t="shared" si="20"/>
        <v>979.7</v>
      </c>
      <c r="O40" s="7">
        <f t="shared" si="21"/>
        <v>2.84043032819499</v>
      </c>
      <c r="P40" s="7">
        <f t="shared" si="22"/>
        <v>2.76520934652879</v>
      </c>
      <c r="Q40" s="7">
        <f t="shared" si="23"/>
        <v>17.1402742454827</v>
      </c>
      <c r="R40" s="7">
        <f t="shared" si="24"/>
        <v>15.8883653269613</v>
      </c>
      <c r="S40">
        <f t="shared" si="35"/>
        <v>2.87769784172662</v>
      </c>
      <c r="U40">
        <f t="shared" si="36"/>
        <v>3.10172555464256</v>
      </c>
      <c r="W40">
        <f t="shared" si="37"/>
        <v>1.05699061397729</v>
      </c>
      <c r="Y40">
        <f t="shared" si="38"/>
        <v>1.13195858715965</v>
      </c>
    </row>
    <row r="41" spans="1:26">
      <c r="A41" s="14" t="s">
        <v>389</v>
      </c>
      <c r="B41" s="8">
        <v>1004.3</v>
      </c>
      <c r="C41" s="8">
        <v>6.6963</v>
      </c>
      <c r="D41" s="8">
        <v>6.3253</v>
      </c>
      <c r="E41" s="8">
        <f t="shared" si="30"/>
        <v>1004.3</v>
      </c>
      <c r="F41" s="8">
        <f t="shared" si="31"/>
        <v>2.65445790754678</v>
      </c>
      <c r="G41" s="8">
        <f t="shared" si="32"/>
        <v>2.59529056793159</v>
      </c>
      <c r="H41" s="8">
        <f t="shared" si="33"/>
        <v>14.2304593858052</v>
      </c>
      <c r="I41" s="8">
        <f t="shared" si="34"/>
        <v>13.4029364657893</v>
      </c>
      <c r="J41" s="13" t="s">
        <v>390</v>
      </c>
      <c r="K41" s="7">
        <v>1003.7</v>
      </c>
      <c r="L41" s="7">
        <v>2.2864</v>
      </c>
      <c r="M41" s="7">
        <v>2.1125</v>
      </c>
      <c r="N41" s="7">
        <f t="shared" si="20"/>
        <v>1003.7</v>
      </c>
      <c r="O41" s="7">
        <f t="shared" si="21"/>
        <v>2.64495792868591</v>
      </c>
      <c r="P41" s="7">
        <f t="shared" si="22"/>
        <v>2.62354543221264</v>
      </c>
      <c r="Q41" s="7">
        <f t="shared" si="23"/>
        <v>14.0969507319682</v>
      </c>
      <c r="R41" s="7">
        <f t="shared" si="24"/>
        <v>13.7897172363212</v>
      </c>
      <c r="S41">
        <f t="shared" si="35"/>
        <v>2.92875262421274</v>
      </c>
      <c r="U41">
        <f t="shared" si="36"/>
        <v>2.99422485207101</v>
      </c>
      <c r="W41">
        <f t="shared" si="37"/>
        <v>1.07457660685747</v>
      </c>
      <c r="Y41">
        <f t="shared" si="38"/>
        <v>1.09668538406963</v>
      </c>
    </row>
    <row r="42" spans="1:26">
      <c r="A42" s="14" t="s">
        <v>391</v>
      </c>
      <c r="B42" s="8">
        <v>1027.3</v>
      </c>
      <c r="C42" s="8">
        <v>5.8615</v>
      </c>
      <c r="D42" s="8">
        <v>5.6249</v>
      </c>
      <c r="E42" s="8">
        <f t="shared" si="30"/>
        <v>1027.3</v>
      </c>
      <c r="F42" s="8">
        <f t="shared" si="31"/>
        <v>2.52130831602559</v>
      </c>
      <c r="G42" s="8">
        <f t="shared" si="32"/>
        <v>2.47793627376745</v>
      </c>
      <c r="H42" s="8">
        <f t="shared" si="33"/>
        <v>12.4564069247042</v>
      </c>
      <c r="I42" s="8">
        <f t="shared" si="34"/>
        <v>11.9188303047157</v>
      </c>
      <c r="J42" s="13" t="s">
        <v>392</v>
      </c>
      <c r="K42" s="7">
        <v>1028.3</v>
      </c>
      <c r="L42" s="7">
        <v>2.0519</v>
      </c>
      <c r="M42" s="7">
        <v>1.8353</v>
      </c>
      <c r="N42" s="7">
        <f t="shared" si="20"/>
        <v>1028.3</v>
      </c>
      <c r="O42" s="7">
        <f t="shared" si="21"/>
        <v>2.53674559367001</v>
      </c>
      <c r="P42" s="7">
        <f t="shared" si="22"/>
        <v>2.48288130784574</v>
      </c>
      <c r="Q42" s="7">
        <f t="shared" si="23"/>
        <v>12.6511254403978</v>
      </c>
      <c r="R42" s="7">
        <f t="shared" si="24"/>
        <v>11.9802452278439</v>
      </c>
      <c r="S42">
        <f t="shared" si="35"/>
        <v>2.85662069301623</v>
      </c>
      <c r="T42">
        <f t="shared" ref="T42:X42" si="39">AVERAGE(S39:S42)</f>
        <v>2.90127537912322</v>
      </c>
      <c r="U42">
        <f t="shared" si="36"/>
        <v>3.06483953577072</v>
      </c>
      <c r="V42">
        <f t="shared" si="39"/>
        <v>3.08063193147377</v>
      </c>
      <c r="W42">
        <f t="shared" si="37"/>
        <v>1.04963935035218</v>
      </c>
      <c r="X42">
        <f t="shared" si="39"/>
        <v>1.0650766279966</v>
      </c>
      <c r="Y42">
        <f t="shared" si="38"/>
        <v>1.11999521427239</v>
      </c>
      <c r="Z42">
        <f>AVERAGE(Y39:Y42)</f>
        <v>1.12494024835068</v>
      </c>
    </row>
    <row r="43" spans="1:26">
      <c r="A43" s="14" t="s">
        <v>393</v>
      </c>
      <c r="B43" s="8">
        <v>1051.6</v>
      </c>
      <c r="C43" s="8">
        <v>5.1856</v>
      </c>
      <c r="D43" s="8">
        <v>4.7621</v>
      </c>
      <c r="E43" s="8">
        <f t="shared" si="30"/>
        <v>1051.6</v>
      </c>
      <c r="F43" s="8">
        <f t="shared" si="31"/>
        <v>2.39878832590099</v>
      </c>
      <c r="G43" s="8">
        <f t="shared" si="32"/>
        <v>2.31142185103697</v>
      </c>
      <c r="H43" s="8">
        <f t="shared" si="33"/>
        <v>11.0200364665608</v>
      </c>
      <c r="I43" s="8">
        <f t="shared" si="34"/>
        <v>10.0906081519826</v>
      </c>
      <c r="J43" s="12"/>
    </row>
    <row r="44" spans="1:26">
      <c r="A44" s="14" t="s">
        <v>394</v>
      </c>
      <c r="B44" s="8">
        <v>1079</v>
      </c>
      <c r="C44" s="8">
        <v>4.3419</v>
      </c>
      <c r="D44" s="8">
        <v>4.0274</v>
      </c>
      <c r="E44" s="8">
        <f t="shared" si="30"/>
        <v>1079</v>
      </c>
      <c r="F44" s="8">
        <f t="shared" si="31"/>
        <v>2.22121481282537</v>
      </c>
      <c r="G44" s="8">
        <f t="shared" si="32"/>
        <v>2.14385411007494</v>
      </c>
      <c r="H44" s="8">
        <f t="shared" si="33"/>
        <v>9.22707041309789</v>
      </c>
      <c r="I44" s="8">
        <f t="shared" si="34"/>
        <v>8.53382232025673</v>
      </c>
      <c r="J44" s="12"/>
    </row>
    <row r="45" spans="1:26">
      <c r="A45" s="14" t="s">
        <v>395</v>
      </c>
      <c r="B45" s="8">
        <v>1100.9</v>
      </c>
      <c r="C45" s="8">
        <v>3.6093</v>
      </c>
      <c r="D45" s="8">
        <v>3.5371</v>
      </c>
      <c r="E45" s="8">
        <f t="shared" si="30"/>
        <v>1100.9</v>
      </c>
      <c r="F45" s="8">
        <f t="shared" si="31"/>
        <v>2.03641662022129</v>
      </c>
      <c r="G45" s="8">
        <f t="shared" si="32"/>
        <v>2.01404028598381</v>
      </c>
      <c r="H45" s="8">
        <f t="shared" si="33"/>
        <v>7.67020549574938</v>
      </c>
      <c r="I45" s="8">
        <f t="shared" si="34"/>
        <v>7.4949056286885</v>
      </c>
      <c r="J45" s="12"/>
    </row>
    <row r="46" spans="1:26">
      <c r="A46" s="14" t="s">
        <v>396</v>
      </c>
      <c r="B46" s="8">
        <v>1124.4</v>
      </c>
      <c r="C46" s="8">
        <v>3.1042</v>
      </c>
      <c r="D46" s="8">
        <v>2.9808</v>
      </c>
      <c r="E46" s="8">
        <f t="shared" si="30"/>
        <v>1124.4</v>
      </c>
      <c r="F46" s="8">
        <f t="shared" si="31"/>
        <v>1.88565880573079</v>
      </c>
      <c r="G46" s="8">
        <f t="shared" si="32"/>
        <v>1.84292482447796</v>
      </c>
      <c r="H46" s="8">
        <f t="shared" si="33"/>
        <v>6.5968060011374</v>
      </c>
      <c r="I46" s="8">
        <f t="shared" si="34"/>
        <v>6.3161388419877</v>
      </c>
      <c r="J46" s="15" t="s">
        <v>397</v>
      </c>
      <c r="K46" s="16">
        <v>1125.7</v>
      </c>
      <c r="L46" s="16">
        <v>6.7855</v>
      </c>
      <c r="M46" s="16">
        <v>6.4864</v>
      </c>
      <c r="N46" s="16">
        <f t="shared" ref="N46:N64" si="40">K46</f>
        <v>1125.7</v>
      </c>
      <c r="O46" s="16">
        <f t="shared" ref="O46:O64" si="41">LN(L46)</f>
        <v>1.91478798253929</v>
      </c>
      <c r="P46" s="16">
        <f t="shared" ref="P46:P64" si="42">LN((M46))</f>
        <v>1.86970767727554</v>
      </c>
      <c r="Q46" s="16"/>
      <c r="R46" s="16"/>
      <c r="S46">
        <f t="shared" ref="S46:S49" si="43">L46/C46</f>
        <v>2.18590941305328</v>
      </c>
      <c r="U46">
        <f t="shared" ref="U46:U49" si="44">M46/D46</f>
        <v>2.1760601180891</v>
      </c>
      <c r="W46">
        <f t="shared" ref="W46:W49" si="45">LN(L46)-LN(C46)</f>
        <v>0.782031949304341</v>
      </c>
      <c r="Y46">
        <f t="shared" ref="Y46:Y49" si="46">LN(M46)-LN(D46)</f>
        <v>0.777515956410357</v>
      </c>
    </row>
    <row r="47" spans="1:26">
      <c r="A47" s="14" t="s">
        <v>398</v>
      </c>
      <c r="B47" s="8">
        <v>1148.7</v>
      </c>
      <c r="C47" s="8">
        <v>2.6124</v>
      </c>
      <c r="D47" s="8">
        <v>2.5822</v>
      </c>
      <c r="E47" s="8">
        <f t="shared" si="30"/>
        <v>1148.7</v>
      </c>
      <c r="F47" s="8">
        <f t="shared" si="31"/>
        <v>1.7131721115422</v>
      </c>
      <c r="G47" s="8">
        <f t="shared" si="32"/>
        <v>1.69937485237126</v>
      </c>
      <c r="H47" s="8">
        <f t="shared" si="33"/>
        <v>5.55167063893156</v>
      </c>
      <c r="I47" s="8">
        <f t="shared" si="34"/>
        <v>5.47152902502034</v>
      </c>
      <c r="J47" s="15" t="s">
        <v>399</v>
      </c>
      <c r="K47" s="16">
        <v>1147.7</v>
      </c>
      <c r="L47" s="16">
        <v>5.809</v>
      </c>
      <c r="M47" s="16">
        <v>5.4068</v>
      </c>
      <c r="N47" s="16">
        <f t="shared" si="40"/>
        <v>1147.7</v>
      </c>
      <c r="O47" s="16">
        <f t="shared" si="41"/>
        <v>1.7594084390104</v>
      </c>
      <c r="P47" s="16">
        <f t="shared" si="42"/>
        <v>1.68765742062754</v>
      </c>
      <c r="Q47" s="16"/>
      <c r="R47" s="16"/>
      <c r="S47">
        <f t="shared" si="43"/>
        <v>2.22362578471903</v>
      </c>
      <c r="U47">
        <f t="shared" si="44"/>
        <v>2.09387344125165</v>
      </c>
      <c r="W47">
        <f t="shared" si="45"/>
        <v>0.799139099964031</v>
      </c>
      <c r="Y47">
        <f t="shared" si="46"/>
        <v>0.739015671869054</v>
      </c>
    </row>
    <row r="48" spans="1:26">
      <c r="A48" s="14" t="s">
        <v>400</v>
      </c>
      <c r="B48" s="8">
        <v>1172.7</v>
      </c>
      <c r="C48" s="8">
        <v>2.2604</v>
      </c>
      <c r="D48" s="8">
        <v>2.2093</v>
      </c>
      <c r="E48" s="8">
        <f t="shared" si="30"/>
        <v>1172.7</v>
      </c>
      <c r="F48" s="8">
        <f t="shared" si="31"/>
        <v>1.56844456126939</v>
      </c>
      <c r="G48" s="8">
        <f t="shared" si="32"/>
        <v>1.54340882688762</v>
      </c>
      <c r="H48" s="8">
        <f t="shared" si="33"/>
        <v>4.80362743540074</v>
      </c>
      <c r="I48" s="8">
        <f t="shared" si="34"/>
        <v>4.68137598752128</v>
      </c>
      <c r="J48" s="15" t="s">
        <v>401</v>
      </c>
      <c r="K48" s="16">
        <v>1173.5</v>
      </c>
      <c r="L48" s="16">
        <v>4.7562</v>
      </c>
      <c r="M48" s="16">
        <v>4.5728</v>
      </c>
      <c r="N48" s="16">
        <f t="shared" si="40"/>
        <v>1173.5</v>
      </c>
      <c r="O48" s="16">
        <f t="shared" si="41"/>
        <v>1.55944903008903</v>
      </c>
      <c r="P48" s="16">
        <f t="shared" si="42"/>
        <v>1.52012570875341</v>
      </c>
      <c r="Q48" s="16"/>
      <c r="R48" s="16"/>
      <c r="S48">
        <f t="shared" si="43"/>
        <v>2.10414086002477</v>
      </c>
      <c r="U48">
        <f t="shared" si="44"/>
        <v>2.06979586294301</v>
      </c>
      <c r="W48">
        <f t="shared" si="45"/>
        <v>0.743907241315477</v>
      </c>
      <c r="Y48">
        <f t="shared" si="46"/>
        <v>0.727449985478566</v>
      </c>
    </row>
    <row r="49" spans="1:26">
      <c r="A49" s="14" t="s">
        <v>402</v>
      </c>
      <c r="B49" s="8">
        <v>1196.8</v>
      </c>
      <c r="C49" s="8">
        <v>1.934</v>
      </c>
      <c r="D49" s="8">
        <v>1.9576</v>
      </c>
      <c r="E49" s="8">
        <f t="shared" si="30"/>
        <v>1196.8</v>
      </c>
      <c r="F49" s="8">
        <f t="shared" si="31"/>
        <v>1.41249316952694</v>
      </c>
      <c r="G49" s="8">
        <f t="shared" si="32"/>
        <v>1.4224523367591</v>
      </c>
      <c r="H49" s="8">
        <f t="shared" si="33"/>
        <v>4.10998737394489</v>
      </c>
      <c r="I49" s="8">
        <f t="shared" si="34"/>
        <v>4.14803857926567</v>
      </c>
      <c r="J49" s="15" t="s">
        <v>403</v>
      </c>
      <c r="K49" s="16">
        <v>1195.8</v>
      </c>
      <c r="L49" s="16">
        <v>3.8425</v>
      </c>
      <c r="M49" s="16">
        <v>4.1815</v>
      </c>
      <c r="N49" s="16">
        <f t="shared" si="40"/>
        <v>1195.8</v>
      </c>
      <c r="O49" s="16">
        <f t="shared" si="41"/>
        <v>1.34612319643061</v>
      </c>
      <c r="P49" s="16">
        <f t="shared" si="42"/>
        <v>1.43067003383944</v>
      </c>
      <c r="Q49" s="16"/>
      <c r="R49" s="16"/>
      <c r="S49">
        <f t="shared" si="43"/>
        <v>1.98681489141675</v>
      </c>
      <c r="T49">
        <f t="shared" ref="T49:X49" si="47">AVERAGE(S46:S49)</f>
        <v>2.12512273730346</v>
      </c>
      <c r="U49">
        <f t="shared" si="44"/>
        <v>2.13603391908459</v>
      </c>
      <c r="V49">
        <f t="shared" si="47"/>
        <v>2.11894083534209</v>
      </c>
      <c r="W49">
        <f t="shared" si="45"/>
        <v>0.686532799399511</v>
      </c>
      <c r="X49">
        <f t="shared" si="47"/>
        <v>0.75290277249584</v>
      </c>
      <c r="Y49">
        <f t="shared" si="46"/>
        <v>0.758950800693118</v>
      </c>
      <c r="Z49">
        <f>AVERAGE(Y46:Y49)</f>
        <v>0.750733103612774</v>
      </c>
    </row>
    <row r="50" spans="1:26">
      <c r="J50" s="15" t="s">
        <v>404</v>
      </c>
      <c r="K50" s="16">
        <v>1220.8</v>
      </c>
      <c r="L50" s="16">
        <v>3.5503</v>
      </c>
      <c r="M50" s="16">
        <v>3.5066</v>
      </c>
      <c r="N50" s="16">
        <f t="shared" si="40"/>
        <v>1220.8</v>
      </c>
      <c r="O50" s="16">
        <f t="shared" si="41"/>
        <v>1.26703210695906</v>
      </c>
      <c r="P50" s="16">
        <f t="shared" si="42"/>
        <v>1.25464690705389</v>
      </c>
      <c r="Q50" s="16"/>
      <c r="R50" s="16"/>
    </row>
    <row r="51" spans="1:26">
      <c r="J51" s="15" t="s">
        <v>405</v>
      </c>
      <c r="K51" s="16">
        <v>1245</v>
      </c>
      <c r="L51" s="16">
        <v>3.0881</v>
      </c>
      <c r="M51" s="16">
        <v>2.7966</v>
      </c>
      <c r="N51" s="16">
        <f t="shared" si="40"/>
        <v>1245</v>
      </c>
      <c r="O51" s="16">
        <f t="shared" si="41"/>
        <v>1.12755601505789</v>
      </c>
      <c r="P51" s="16">
        <f t="shared" si="42"/>
        <v>1.02840439362461</v>
      </c>
      <c r="Q51" s="16"/>
      <c r="R51" s="16"/>
    </row>
    <row r="52" spans="1:26">
      <c r="J52" s="15" t="s">
        <v>406</v>
      </c>
      <c r="K52" s="16">
        <v>1268.9</v>
      </c>
      <c r="L52" s="16">
        <v>2.5371</v>
      </c>
      <c r="M52" s="16">
        <v>2.1993</v>
      </c>
      <c r="N52" s="16">
        <f t="shared" si="40"/>
        <v>1268.9</v>
      </c>
      <c r="O52" s="16">
        <f t="shared" si="41"/>
        <v>0.931021696474149</v>
      </c>
      <c r="P52" s="16">
        <f t="shared" si="42"/>
        <v>0.788139127915514</v>
      </c>
      <c r="Q52" s="16"/>
      <c r="R52" s="16"/>
    </row>
    <row r="53" spans="1:26">
      <c r="J53" s="15" t="s">
        <v>407</v>
      </c>
      <c r="K53" s="16">
        <v>1293.5</v>
      </c>
      <c r="L53" s="16">
        <v>2.1467</v>
      </c>
      <c r="M53" s="16">
        <v>1.9775</v>
      </c>
      <c r="N53" s="16">
        <f t="shared" si="40"/>
        <v>1293.5</v>
      </c>
      <c r="O53" s="16">
        <f t="shared" si="41"/>
        <v>0.763931779277906</v>
      </c>
      <c r="P53" s="16">
        <f t="shared" si="42"/>
        <v>0.681833420659672</v>
      </c>
      <c r="Q53" s="16"/>
      <c r="R53" s="16"/>
    </row>
    <row r="54" spans="1:26">
      <c r="J54" s="15" t="s">
        <v>408</v>
      </c>
      <c r="K54" s="16">
        <v>1316.7</v>
      </c>
      <c r="L54" s="16">
        <v>1.9063</v>
      </c>
      <c r="M54" s="16">
        <v>1.8952</v>
      </c>
      <c r="N54" s="16">
        <f t="shared" si="40"/>
        <v>1316.7</v>
      </c>
      <c r="O54" s="16">
        <f t="shared" si="41"/>
        <v>0.645164190537794</v>
      </c>
      <c r="P54" s="16">
        <f t="shared" si="42"/>
        <v>0.639324373862439</v>
      </c>
      <c r="Q54" s="16"/>
      <c r="R54" s="16"/>
    </row>
    <row r="55" spans="1:26">
      <c r="J55" s="15" t="s">
        <v>409</v>
      </c>
      <c r="K55" s="16">
        <v>1341.8</v>
      </c>
      <c r="L55" s="16">
        <v>1.4896</v>
      </c>
      <c r="M55" s="16">
        <v>1.6075</v>
      </c>
      <c r="N55" s="16">
        <f t="shared" si="40"/>
        <v>1341.8</v>
      </c>
      <c r="O55" s="16">
        <f t="shared" si="41"/>
        <v>0.398507627540666</v>
      </c>
      <c r="P55" s="16">
        <f t="shared" si="42"/>
        <v>0.474680177129637</v>
      </c>
      <c r="Q55" s="16"/>
      <c r="R55" s="16"/>
    </row>
    <row r="56" spans="1:26">
      <c r="J56" s="15" t="s">
        <v>410</v>
      </c>
      <c r="K56" s="16">
        <v>1365.8</v>
      </c>
      <c r="L56" s="16">
        <v>1.1718</v>
      </c>
      <c r="M56" s="16">
        <v>1.3135</v>
      </c>
      <c r="N56" s="16">
        <f t="shared" si="40"/>
        <v>1365.8</v>
      </c>
      <c r="O56" s="16">
        <f t="shared" si="41"/>
        <v>0.158541028128551</v>
      </c>
      <c r="P56" s="16">
        <f t="shared" si="42"/>
        <v>0.272695330143457</v>
      </c>
      <c r="Q56" s="16"/>
      <c r="R56" s="16"/>
    </row>
    <row r="57" spans="1:26">
      <c r="J57" s="15" t="s">
        <v>411</v>
      </c>
      <c r="K57" s="16">
        <v>1390.8</v>
      </c>
      <c r="L57" s="16">
        <v>0.9652</v>
      </c>
      <c r="M57" s="16">
        <v>1.1868</v>
      </c>
      <c r="N57" s="16">
        <f t="shared" si="40"/>
        <v>1390.8</v>
      </c>
      <c r="O57" s="16">
        <f t="shared" si="41"/>
        <v>-0.0354199452312604</v>
      </c>
      <c r="P57" s="16">
        <f t="shared" si="42"/>
        <v>0.17126060943453</v>
      </c>
      <c r="Q57" s="16"/>
      <c r="R57" s="16"/>
    </row>
    <row r="58" spans="1:26">
      <c r="J58" s="15" t="s">
        <v>412</v>
      </c>
      <c r="K58" s="16">
        <v>1420.4</v>
      </c>
      <c r="L58" s="16">
        <v>0.801</v>
      </c>
      <c r="M58" s="16">
        <v>0.9711</v>
      </c>
      <c r="N58" s="16">
        <f t="shared" si="40"/>
        <v>1420.4</v>
      </c>
      <c r="O58" s="16">
        <f t="shared" si="41"/>
        <v>-0.221894331913778</v>
      </c>
      <c r="P58" s="16">
        <f t="shared" si="42"/>
        <v>-0.0293258293818287</v>
      </c>
      <c r="Q58" s="16"/>
      <c r="R58" s="16"/>
    </row>
    <row r="59" spans="1:26">
      <c r="J59" s="15" t="s">
        <v>413</v>
      </c>
      <c r="K59" s="16">
        <v>1432.6</v>
      </c>
      <c r="L59" s="16">
        <v>0.7581</v>
      </c>
      <c r="M59" s="16">
        <v>0.9213</v>
      </c>
      <c r="N59" s="16">
        <f t="shared" si="40"/>
        <v>1432.6</v>
      </c>
      <c r="O59" s="16">
        <f t="shared" si="41"/>
        <v>-0.276939975919879</v>
      </c>
      <c r="P59" s="16">
        <f t="shared" si="42"/>
        <v>-0.0819695628672507</v>
      </c>
      <c r="Q59" s="16"/>
      <c r="R59" s="16"/>
    </row>
    <row r="60" spans="1:26">
      <c r="J60" s="15" t="s">
        <v>414</v>
      </c>
      <c r="K60" s="16">
        <v>1468.8</v>
      </c>
      <c r="L60" s="16">
        <v>0.5445</v>
      </c>
      <c r="M60" s="16">
        <v>0.7534</v>
      </c>
      <c r="N60" s="16">
        <f t="shared" si="40"/>
        <v>1468.8</v>
      </c>
      <c r="O60" s="16">
        <f t="shared" si="41"/>
        <v>-0.607887336609122</v>
      </c>
      <c r="P60" s="16">
        <f t="shared" si="42"/>
        <v>-0.283158983724196</v>
      </c>
      <c r="Q60" s="16"/>
      <c r="R60" s="16"/>
    </row>
    <row r="61" spans="1:26">
      <c r="J61" s="15" t="s">
        <v>415</v>
      </c>
      <c r="K61" s="16">
        <v>1487.6</v>
      </c>
      <c r="L61" s="16">
        <v>0.4343</v>
      </c>
      <c r="M61" s="16">
        <v>0.562</v>
      </c>
      <c r="N61" s="16">
        <f t="shared" si="40"/>
        <v>1487.6</v>
      </c>
      <c r="O61" s="16">
        <f t="shared" si="41"/>
        <v>-0.834019739441361</v>
      </c>
      <c r="P61" s="16">
        <f t="shared" si="42"/>
        <v>-0.576253429088446</v>
      </c>
      <c r="Q61" s="16"/>
      <c r="R61" s="16"/>
    </row>
    <row r="62" spans="1:26">
      <c r="J62" s="15" t="s">
        <v>416</v>
      </c>
      <c r="K62" s="16">
        <v>1517.3</v>
      </c>
      <c r="L62" s="16">
        <v>0.3283</v>
      </c>
      <c r="M62" s="16">
        <v>0.5404</v>
      </c>
      <c r="N62" s="16">
        <f t="shared" si="40"/>
        <v>1517.3</v>
      </c>
      <c r="O62" s="16">
        <f t="shared" si="41"/>
        <v>-1.11382745447459</v>
      </c>
      <c r="P62" s="16">
        <f t="shared" si="42"/>
        <v>-0.615445672896093</v>
      </c>
      <c r="Q62" s="16"/>
      <c r="R62" s="16"/>
    </row>
    <row r="63" spans="1:26">
      <c r="J63" s="15" t="s">
        <v>417</v>
      </c>
      <c r="K63" s="16">
        <v>1528.4</v>
      </c>
      <c r="L63" s="16">
        <v>0.3043</v>
      </c>
      <c r="M63" s="16">
        <v>0.3638</v>
      </c>
      <c r="N63" s="16">
        <f t="shared" si="40"/>
        <v>1528.4</v>
      </c>
      <c r="O63" s="16">
        <f t="shared" si="41"/>
        <v>-1.18974122207921</v>
      </c>
      <c r="P63" s="16">
        <f t="shared" si="42"/>
        <v>-1.01115101289812</v>
      </c>
      <c r="Q63" s="16"/>
      <c r="R63" s="16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"/>
  <sheetViews>
    <sheetView topLeftCell="C22" workbookViewId="0">
      <selection activeCell="N46" sqref="N46:P63"/>
    </sheetView>
  </sheetViews>
  <sheetFormatPr defaultColWidth="9" defaultRowHeight="14.4"/>
  <cols>
    <col min="1" max="1" width="13" customWidth="1"/>
    <col min="2" max="2" width="10.6666666666667" customWidth="1"/>
    <col min="3" max="5" width="12.8888888888889" customWidth="1"/>
    <col min="6" max="7" width="15" customWidth="1"/>
    <col min="8" max="9" width="12.8888888888889" customWidth="1"/>
    <col min="10" max="10" width="13" customWidth="1"/>
    <col min="11" max="11" width="10.6666666666667" customWidth="1"/>
    <col min="12" max="14" width="12.8888888888889" customWidth="1"/>
    <col min="15" max="16" width="15" customWidth="1"/>
    <col min="17" max="20" width="12.8888888888889" customWidth="1"/>
    <col min="21" max="21" width="20.8888888888889" customWidth="1"/>
    <col min="22" max="22" width="12.8888888888889" customWidth="1"/>
    <col min="23" max="26" width="12.8888888888889"/>
  </cols>
  <sheetData>
    <row r="1" ht="17.4" spans="1:25">
      <c r="A1" s="1" t="s">
        <v>324</v>
      </c>
      <c r="B1" s="1" t="s">
        <v>325</v>
      </c>
      <c r="C1" s="1">
        <v>747</v>
      </c>
      <c r="D1" s="1">
        <v>633</v>
      </c>
      <c r="E1" s="1"/>
      <c r="F1" s="1" t="s">
        <v>329</v>
      </c>
      <c r="G1" s="1" t="s">
        <v>330</v>
      </c>
      <c r="H1" s="1" t="s">
        <v>331</v>
      </c>
      <c r="I1" s="1" t="s">
        <v>332</v>
      </c>
      <c r="J1" s="2" t="s">
        <v>333</v>
      </c>
      <c r="K1" s="1" t="s">
        <v>325</v>
      </c>
      <c r="L1" s="1" t="s">
        <v>334</v>
      </c>
      <c r="M1" s="1" t="s">
        <v>327</v>
      </c>
      <c r="N1" s="1"/>
      <c r="O1" s="1" t="s">
        <v>329</v>
      </c>
      <c r="P1" s="1" t="s">
        <v>330</v>
      </c>
      <c r="Q1" s="1" t="s">
        <v>331</v>
      </c>
      <c r="R1" s="1" t="s">
        <v>332</v>
      </c>
      <c r="S1" s="1"/>
      <c r="U1" t="s">
        <v>335</v>
      </c>
    </row>
    <row r="2" spans="1:25">
      <c r="A2" s="3" t="s">
        <v>336</v>
      </c>
      <c r="J2" s="4" t="s">
        <v>336</v>
      </c>
      <c r="K2" s="5">
        <v>56</v>
      </c>
      <c r="L2" s="5">
        <v>13.911</v>
      </c>
      <c r="M2" s="5">
        <v>4.2436</v>
      </c>
      <c r="N2" s="5">
        <f t="shared" ref="N2:N14" si="0">K2</f>
        <v>56</v>
      </c>
      <c r="O2" s="5">
        <f t="shared" ref="O2:O14" si="1">LN(L2)+$X$49+$X$42+$X$29+$X$20</f>
        <v>8.88157207918978</v>
      </c>
      <c r="P2" s="5">
        <f t="shared" ref="P2:P14" si="2">LN(M2)+$Z$49+$Z$42+$Z$29+$Z$20</f>
        <v>8.72048521929395</v>
      </c>
      <c r="Q2" s="5">
        <f t="shared" ref="Q2:Q14" si="3">L2*$T$20*$T$29*$T$42*$T$49</f>
        <v>7206.85427314027</v>
      </c>
      <c r="R2" s="5">
        <f t="shared" ref="R2:R14" si="4">M2*$V$20*$V$29*$V$42*$V$49</f>
        <v>6137.13004690903</v>
      </c>
      <c r="U2" s="5" t="s">
        <v>337</v>
      </c>
    </row>
    <row r="3" spans="1:25">
      <c r="A3" s="3" t="s">
        <v>338</v>
      </c>
      <c r="J3" s="4" t="s">
        <v>338</v>
      </c>
      <c r="K3" s="5">
        <v>91.7</v>
      </c>
      <c r="L3" s="5">
        <v>10.8365</v>
      </c>
      <c r="M3" s="5">
        <v>3.3091</v>
      </c>
      <c r="N3" s="5">
        <f t="shared" si="0"/>
        <v>91.7</v>
      </c>
      <c r="O3" s="5">
        <f t="shared" si="1"/>
        <v>8.63181225075867</v>
      </c>
      <c r="P3" s="5">
        <f t="shared" si="2"/>
        <v>8.47174950278427</v>
      </c>
      <c r="Q3" s="5">
        <f t="shared" si="3"/>
        <v>5614.05192515883</v>
      </c>
      <c r="R3" s="5">
        <f t="shared" si="4"/>
        <v>4785.64827934458</v>
      </c>
      <c r="U3" s="6" t="s">
        <v>339</v>
      </c>
    </row>
    <row r="4" spans="1:25">
      <c r="A4" s="3" t="s">
        <v>340</v>
      </c>
      <c r="J4" s="4" t="s">
        <v>340</v>
      </c>
      <c r="K4" s="5">
        <v>115</v>
      </c>
      <c r="L4" s="5">
        <v>9.7307</v>
      </c>
      <c r="M4" s="5">
        <v>2.9784</v>
      </c>
      <c r="N4" s="5">
        <f t="shared" si="0"/>
        <v>115</v>
      </c>
      <c r="O4" s="5">
        <f t="shared" si="1"/>
        <v>8.52417802116857</v>
      </c>
      <c r="P4" s="5">
        <f t="shared" si="2"/>
        <v>8.36645949726734</v>
      </c>
      <c r="Q4" s="5">
        <f t="shared" si="3"/>
        <v>5041.17151000259</v>
      </c>
      <c r="R4" s="5">
        <f t="shared" si="4"/>
        <v>4307.38715517812</v>
      </c>
      <c r="U4" s="7" t="s">
        <v>341</v>
      </c>
    </row>
    <row r="5" spans="1:25">
      <c r="A5" s="3" t="s">
        <v>342</v>
      </c>
      <c r="J5" s="4" t="s">
        <v>342</v>
      </c>
      <c r="K5" s="5">
        <v>138.9</v>
      </c>
      <c r="L5" s="5">
        <v>8.2458</v>
      </c>
      <c r="M5" s="5">
        <v>2.405</v>
      </c>
      <c r="N5" s="5">
        <f t="shared" si="0"/>
        <v>138.9</v>
      </c>
      <c r="O5" s="5">
        <f t="shared" si="1"/>
        <v>8.35859616491907</v>
      </c>
      <c r="P5" s="5">
        <f t="shared" si="2"/>
        <v>8.1526231572487</v>
      </c>
      <c r="Q5" s="5">
        <f t="shared" si="3"/>
        <v>4271.89123466753</v>
      </c>
      <c r="R5" s="5">
        <f t="shared" si="4"/>
        <v>3478.13124771803</v>
      </c>
      <c r="U5" s="8" t="s">
        <v>343</v>
      </c>
    </row>
    <row r="6" spans="1:25">
      <c r="A6" s="3" t="s">
        <v>344</v>
      </c>
      <c r="J6" s="4" t="s">
        <v>344</v>
      </c>
      <c r="K6" s="5">
        <v>162.7</v>
      </c>
      <c r="L6" s="5">
        <v>6.8938</v>
      </c>
      <c r="M6" s="5">
        <v>2.1032</v>
      </c>
      <c r="N6" s="5">
        <f t="shared" si="0"/>
        <v>162.7</v>
      </c>
      <c r="O6" s="5">
        <f t="shared" si="1"/>
        <v>8.17951464205223</v>
      </c>
      <c r="P6" s="5">
        <f t="shared" si="2"/>
        <v>8.01853324812451</v>
      </c>
      <c r="Q6" s="5">
        <f t="shared" si="3"/>
        <v>3571.46229517464</v>
      </c>
      <c r="R6" s="5">
        <f t="shared" si="4"/>
        <v>3041.66554686094</v>
      </c>
      <c r="U6" s="9" t="s">
        <v>345</v>
      </c>
    </row>
    <row r="7" spans="1:25">
      <c r="A7" s="3" t="s">
        <v>346</v>
      </c>
      <c r="J7" s="4" t="s">
        <v>346</v>
      </c>
      <c r="K7" s="5">
        <v>186.9</v>
      </c>
      <c r="L7" s="5">
        <v>6.1458</v>
      </c>
      <c r="M7" s="5">
        <v>1.92</v>
      </c>
      <c r="N7" s="5">
        <f t="shared" si="0"/>
        <v>186.9</v>
      </c>
      <c r="O7" s="5">
        <f t="shared" si="1"/>
        <v>8.06466110680076</v>
      </c>
      <c r="P7" s="5">
        <f t="shared" si="2"/>
        <v>7.92739843973066</v>
      </c>
      <c r="Q7" s="5">
        <f t="shared" si="3"/>
        <v>3183.94687598774</v>
      </c>
      <c r="R7" s="5">
        <f t="shared" si="4"/>
        <v>2776.72016449838</v>
      </c>
    </row>
    <row r="8" spans="1:25">
      <c r="A8" s="3" t="s">
        <v>347</v>
      </c>
      <c r="J8" s="4" t="s">
        <v>347</v>
      </c>
      <c r="K8" s="5">
        <v>211.6</v>
      </c>
      <c r="L8" s="5">
        <v>5.1718</v>
      </c>
      <c r="M8" s="5">
        <v>1.7019</v>
      </c>
      <c r="N8" s="5">
        <f t="shared" si="0"/>
        <v>211.6</v>
      </c>
      <c r="O8" s="5">
        <f t="shared" si="1"/>
        <v>7.89211297551402</v>
      </c>
      <c r="P8" s="5">
        <f t="shared" si="2"/>
        <v>7.80681852770947</v>
      </c>
      <c r="Q8" s="5">
        <f t="shared" si="3"/>
        <v>2679.34792105721</v>
      </c>
      <c r="R8" s="5">
        <f t="shared" si="4"/>
        <v>2461.3021083124</v>
      </c>
    </row>
    <row r="9" spans="1:25">
      <c r="A9" s="3" t="s">
        <v>348</v>
      </c>
      <c r="J9" s="4" t="s">
        <v>348</v>
      </c>
      <c r="K9" s="5">
        <v>236.1</v>
      </c>
      <c r="L9" s="5">
        <v>4.2808</v>
      </c>
      <c r="M9" s="5">
        <v>1.381</v>
      </c>
      <c r="N9" s="5">
        <f t="shared" si="0"/>
        <v>236.1</v>
      </c>
      <c r="O9" s="5">
        <f t="shared" si="1"/>
        <v>7.70303209312731</v>
      </c>
      <c r="P9" s="5">
        <f t="shared" si="2"/>
        <v>7.59788112811813</v>
      </c>
      <c r="Q9" s="5">
        <f t="shared" si="3"/>
        <v>2217.74867173164</v>
      </c>
      <c r="R9" s="5">
        <f t="shared" si="4"/>
        <v>1997.21382665222</v>
      </c>
    </row>
    <row r="10" spans="1:25">
      <c r="A10" s="3" t="s">
        <v>349</v>
      </c>
      <c r="J10" s="4" t="s">
        <v>349</v>
      </c>
      <c r="K10" s="5">
        <v>260.7</v>
      </c>
      <c r="L10" s="5">
        <v>3.7023</v>
      </c>
      <c r="M10" s="5">
        <v>1.1169</v>
      </c>
      <c r="N10" s="5">
        <f t="shared" si="0"/>
        <v>260.7</v>
      </c>
      <c r="O10" s="5">
        <f t="shared" si="1"/>
        <v>7.55784643325746</v>
      </c>
      <c r="P10" s="5">
        <f t="shared" si="2"/>
        <v>7.38563024425562</v>
      </c>
      <c r="Q10" s="5">
        <f t="shared" si="3"/>
        <v>1918.04590435247</v>
      </c>
      <c r="R10" s="5">
        <f t="shared" si="4"/>
        <v>1615.27018319179</v>
      </c>
    </row>
    <row r="11" spans="1:25">
      <c r="A11" s="3" t="s">
        <v>350</v>
      </c>
      <c r="J11" s="4" t="s">
        <v>350</v>
      </c>
      <c r="K11" s="5">
        <v>284.9</v>
      </c>
      <c r="L11" s="5">
        <v>3.2332</v>
      </c>
      <c r="M11" s="5">
        <v>0.9738</v>
      </c>
      <c r="N11" s="5">
        <f t="shared" si="0"/>
        <v>284.9</v>
      </c>
      <c r="O11" s="5">
        <f t="shared" si="1"/>
        <v>7.4223645439899</v>
      </c>
      <c r="P11" s="5">
        <f t="shared" si="2"/>
        <v>7.24852391845744</v>
      </c>
      <c r="Q11" s="5">
        <f t="shared" si="3"/>
        <v>1675.01985737309</v>
      </c>
      <c r="R11" s="5">
        <f t="shared" si="4"/>
        <v>1408.31775843152</v>
      </c>
    </row>
    <row r="12" spans="1:25">
      <c r="A12" s="10" t="s">
        <v>351</v>
      </c>
      <c r="B12" s="11">
        <v>309</v>
      </c>
      <c r="C12" s="11">
        <v>20.541</v>
      </c>
      <c r="D12" s="11">
        <v>14.3946</v>
      </c>
      <c r="E12" s="11">
        <f t="shared" ref="E12:E29" si="5">B12</f>
        <v>309</v>
      </c>
      <c r="F12" s="11">
        <f t="shared" ref="F12:F29" si="6">LN(C12)+$X$49+$X$42+$X$29</f>
        <v>7.23630405770373</v>
      </c>
      <c r="G12" s="11">
        <f t="shared" ref="G12:G29" si="7">LN(D12)+$Z$49+$Z$42+$Z$29</f>
        <v>7.10218568716868</v>
      </c>
      <c r="H12" s="11">
        <f t="shared" ref="H12:H29" si="8">C12*$T$29*$T$42*$T$49</f>
        <v>1390.57227492919</v>
      </c>
      <c r="I12" s="11">
        <f t="shared" ref="I12:I29" si="9">D12*$V$29*$V$42*$V$49</f>
        <v>1216.04188267304</v>
      </c>
      <c r="J12" s="4" t="s">
        <v>351</v>
      </c>
      <c r="K12" s="5">
        <v>308.7</v>
      </c>
      <c r="L12" s="5">
        <v>2.7115</v>
      </c>
      <c r="M12" s="5">
        <v>0.8135</v>
      </c>
      <c r="N12" s="5">
        <f t="shared" si="0"/>
        <v>308.7</v>
      </c>
      <c r="O12" s="5">
        <f t="shared" si="1"/>
        <v>7.24639417241133</v>
      </c>
      <c r="P12" s="5">
        <f t="shared" si="2"/>
        <v>7.06866390136793</v>
      </c>
      <c r="Q12" s="5">
        <f t="shared" si="3"/>
        <v>1404.7433945525</v>
      </c>
      <c r="R12" s="5">
        <f t="shared" si="4"/>
        <v>1176.49054886429</v>
      </c>
      <c r="S12">
        <f t="shared" ref="S12:S14" si="10">C12/L12</f>
        <v>7.57551170938595</v>
      </c>
      <c r="U12">
        <f t="shared" ref="U12:U14" si="11">D12/M12</f>
        <v>17.6946527350953</v>
      </c>
      <c r="W12">
        <f t="shared" ref="W12:W14" si="12">LN(C12)-LN(L12)</f>
        <v>2.02492090150806</v>
      </c>
      <c r="Y12">
        <f t="shared" ref="Y12:Y14" si="13">LN(D12)-LN(M12)</f>
        <v>2.87326248857492</v>
      </c>
    </row>
    <row r="13" spans="1:25">
      <c r="A13" s="10" t="s">
        <v>352</v>
      </c>
      <c r="B13" s="11">
        <v>330.7</v>
      </c>
      <c r="C13" s="11">
        <v>18.4471</v>
      </c>
      <c r="D13" s="11">
        <v>12.8627</v>
      </c>
      <c r="E13" s="11">
        <f t="shared" si="5"/>
        <v>330.7</v>
      </c>
      <c r="F13" s="11">
        <f t="shared" si="6"/>
        <v>7.1287883454571</v>
      </c>
      <c r="G13" s="11">
        <f t="shared" si="7"/>
        <v>6.98966420103286</v>
      </c>
      <c r="H13" s="11">
        <f t="shared" si="8"/>
        <v>1248.82069095206</v>
      </c>
      <c r="I13" s="11">
        <f t="shared" si="9"/>
        <v>1086.62845263213</v>
      </c>
      <c r="J13" s="4" t="s">
        <v>353</v>
      </c>
      <c r="K13" s="5">
        <v>331.3</v>
      </c>
      <c r="L13" s="5">
        <v>2.4188</v>
      </c>
      <c r="M13" s="5">
        <v>0.747</v>
      </c>
      <c r="N13" s="5">
        <f t="shared" si="0"/>
        <v>331.3</v>
      </c>
      <c r="O13" s="5">
        <f t="shared" si="1"/>
        <v>7.13216373452927</v>
      </c>
      <c r="P13" s="5">
        <f t="shared" si="2"/>
        <v>6.98338315984165</v>
      </c>
      <c r="Q13" s="5">
        <f t="shared" si="3"/>
        <v>1253.10467370223</v>
      </c>
      <c r="R13" s="5">
        <f t="shared" si="4"/>
        <v>1080.31768900015</v>
      </c>
      <c r="S13">
        <f t="shared" si="10"/>
        <v>7.62655035554821</v>
      </c>
      <c r="U13">
        <f t="shared" si="11"/>
        <v>17.2191432396252</v>
      </c>
      <c r="W13">
        <f t="shared" si="12"/>
        <v>2.03163562714348</v>
      </c>
      <c r="Y13">
        <f t="shared" si="13"/>
        <v>2.84602174396538</v>
      </c>
    </row>
    <row r="14" spans="1:25">
      <c r="A14" s="10" t="s">
        <v>354</v>
      </c>
      <c r="B14" s="11">
        <v>356.4</v>
      </c>
      <c r="C14" s="11">
        <v>15.7014</v>
      </c>
      <c r="D14" s="11">
        <v>10.7048</v>
      </c>
      <c r="E14" s="11">
        <f t="shared" si="5"/>
        <v>356.4</v>
      </c>
      <c r="F14" s="11">
        <f t="shared" si="6"/>
        <v>6.9676310492499</v>
      </c>
      <c r="G14" s="11">
        <f t="shared" si="7"/>
        <v>6.80602478992545</v>
      </c>
      <c r="H14" s="11">
        <f t="shared" si="8"/>
        <v>1062.94394224104</v>
      </c>
      <c r="I14" s="11">
        <f t="shared" si="9"/>
        <v>904.33114818323</v>
      </c>
      <c r="J14" s="4" t="s">
        <v>355</v>
      </c>
      <c r="K14" s="5">
        <v>356.2</v>
      </c>
      <c r="L14" s="5">
        <v>2.0244</v>
      </c>
      <c r="M14" s="5">
        <v>0.651</v>
      </c>
      <c r="N14" s="5">
        <f t="shared" si="0"/>
        <v>356.2</v>
      </c>
      <c r="O14" s="5">
        <f t="shared" si="1"/>
        <v>6.95416554547013</v>
      </c>
      <c r="P14" s="5">
        <f t="shared" si="2"/>
        <v>6.84582761691741</v>
      </c>
      <c r="Q14" s="5">
        <f t="shared" si="3"/>
        <v>1048.77836176732</v>
      </c>
      <c r="R14" s="5">
        <f t="shared" si="4"/>
        <v>941.481680775233</v>
      </c>
      <c r="S14">
        <f t="shared" si="10"/>
        <v>7.75607587433314</v>
      </c>
      <c r="U14">
        <f t="shared" si="11"/>
        <v>16.4436251920123</v>
      </c>
      <c r="W14">
        <f t="shared" si="12"/>
        <v>2.04847651999541</v>
      </c>
      <c r="Y14">
        <f t="shared" si="13"/>
        <v>2.79993787578221</v>
      </c>
    </row>
    <row r="15" spans="1:25">
      <c r="A15" s="10" t="s">
        <v>356</v>
      </c>
      <c r="B15" s="11">
        <v>378.8</v>
      </c>
      <c r="C15" s="11">
        <v>13.2181</v>
      </c>
      <c r="D15" s="11">
        <v>9.2648</v>
      </c>
      <c r="E15" s="11">
        <f t="shared" si="5"/>
        <v>378.8</v>
      </c>
      <c r="F15" s="11">
        <f t="shared" si="6"/>
        <v>6.79546827135741</v>
      </c>
      <c r="G15" s="11">
        <f t="shared" si="7"/>
        <v>6.66155482380484</v>
      </c>
      <c r="H15" s="11">
        <f t="shared" si="8"/>
        <v>894.830991054065</v>
      </c>
      <c r="I15" s="11">
        <f t="shared" si="9"/>
        <v>782.681341238322</v>
      </c>
      <c r="J15" s="4"/>
      <c r="K15" s="5"/>
      <c r="L15" s="5"/>
      <c r="M15" s="5"/>
      <c r="N15" s="5"/>
      <c r="O15" s="5"/>
      <c r="P15" s="5"/>
      <c r="Q15" s="5"/>
      <c r="R15" s="5"/>
    </row>
    <row r="16" spans="1:25">
      <c r="A16" s="10" t="s">
        <v>357</v>
      </c>
      <c r="B16" s="11">
        <v>402.8</v>
      </c>
      <c r="C16" s="11">
        <v>11.3266</v>
      </c>
      <c r="D16" s="11">
        <v>7.6911</v>
      </c>
      <c r="E16" s="11">
        <f t="shared" si="5"/>
        <v>402.8</v>
      </c>
      <c r="F16" s="11">
        <f t="shared" si="6"/>
        <v>6.64103511063987</v>
      </c>
      <c r="G16" s="11">
        <f t="shared" si="7"/>
        <v>6.47539636711757</v>
      </c>
      <c r="H16" s="11">
        <f t="shared" si="8"/>
        <v>766.781360654933</v>
      </c>
      <c r="I16" s="11">
        <f t="shared" si="9"/>
        <v>649.736687634709</v>
      </c>
      <c r="J16" s="4"/>
      <c r="K16" s="5"/>
      <c r="L16" s="5"/>
      <c r="M16" s="5"/>
      <c r="N16" s="5"/>
      <c r="O16" s="5"/>
      <c r="P16" s="5"/>
      <c r="Q16" s="5"/>
      <c r="R16" s="5"/>
    </row>
    <row r="17" spans="1:26">
      <c r="A17" s="10" t="s">
        <v>358</v>
      </c>
      <c r="B17" s="11">
        <v>426.9</v>
      </c>
      <c r="C17" s="11">
        <v>9.7724</v>
      </c>
      <c r="D17" s="11">
        <v>6.7126</v>
      </c>
      <c r="E17" s="11">
        <f t="shared" si="5"/>
        <v>426.9</v>
      </c>
      <c r="F17" s="11">
        <f t="shared" si="6"/>
        <v>6.4934432547332</v>
      </c>
      <c r="G17" s="11">
        <f t="shared" si="7"/>
        <v>6.33931890821997</v>
      </c>
      <c r="H17" s="11">
        <f t="shared" si="8"/>
        <v>661.566062972496</v>
      </c>
      <c r="I17" s="11">
        <f t="shared" si="9"/>
        <v>567.073954234992</v>
      </c>
      <c r="J17" s="4"/>
      <c r="K17" s="5"/>
      <c r="L17" s="5"/>
      <c r="M17" s="5"/>
      <c r="N17" s="5"/>
      <c r="O17" s="5"/>
      <c r="P17" s="5"/>
      <c r="Q17" s="5"/>
      <c r="R17" s="5"/>
    </row>
    <row r="18" spans="1:26">
      <c r="A18" s="10" t="s">
        <v>359</v>
      </c>
      <c r="B18" s="11">
        <v>451</v>
      </c>
      <c r="C18" s="11">
        <v>8.3651</v>
      </c>
      <c r="D18" s="11">
        <v>5.7456</v>
      </c>
      <c r="E18" s="11">
        <f t="shared" si="5"/>
        <v>451</v>
      </c>
      <c r="F18" s="11">
        <f t="shared" si="6"/>
        <v>6.33794945783665</v>
      </c>
      <c r="G18" s="11">
        <f t="shared" si="7"/>
        <v>6.18376689540649</v>
      </c>
      <c r="H18" s="11">
        <f t="shared" si="8"/>
        <v>566.295513217963</v>
      </c>
      <c r="I18" s="11">
        <f t="shared" si="9"/>
        <v>485.382729710183</v>
      </c>
      <c r="J18" s="4" t="s">
        <v>419</v>
      </c>
      <c r="K18" s="5">
        <v>452.1</v>
      </c>
      <c r="L18" s="5">
        <v>1.0668</v>
      </c>
      <c r="M18" s="5">
        <v>0.3451</v>
      </c>
      <c r="N18" s="5">
        <f t="shared" ref="N15:N20" si="14">K18</f>
        <v>452.1</v>
      </c>
      <c r="O18" s="5">
        <f t="shared" ref="O15:O20" si="15">LN(L18)+$X$49+$X$42+$X$29+$X$20</f>
        <v>6.31355569843807</v>
      </c>
      <c r="P18" s="5">
        <f t="shared" ref="P15:P20" si="16">LN(M18)+$Z$49+$Z$42+$Z$29+$Z$20</f>
        <v>6.2111522048128</v>
      </c>
      <c r="Q18" s="5">
        <f t="shared" ref="Q15:Q20" si="17">L18*$T$20*$T$29*$T$42*$T$49</f>
        <v>552.675734209334</v>
      </c>
      <c r="R18" s="5">
        <f t="shared" ref="R15:R20" si="18">M18*$V$20*$V$29*$V$42*$V$49</f>
        <v>499.086525400204</v>
      </c>
    </row>
    <row r="19" spans="1:26">
      <c r="A19" s="10" t="s">
        <v>360</v>
      </c>
      <c r="B19" s="11">
        <v>475.7</v>
      </c>
      <c r="C19" s="11">
        <v>7.229</v>
      </c>
      <c r="D19" s="11">
        <v>4.9298</v>
      </c>
      <c r="E19" s="11">
        <f t="shared" si="5"/>
        <v>475.7</v>
      </c>
      <c r="F19" s="11">
        <f t="shared" si="6"/>
        <v>6.19198188291486</v>
      </c>
      <c r="G19" s="11">
        <f t="shared" si="7"/>
        <v>6.03063097019719</v>
      </c>
      <c r="H19" s="11">
        <f t="shared" si="8"/>
        <v>489.384498099563</v>
      </c>
      <c r="I19" s="11">
        <f t="shared" si="9"/>
        <v>416.464734914588</v>
      </c>
      <c r="J19" s="4" t="s">
        <v>420</v>
      </c>
      <c r="K19" s="5">
        <v>476.6</v>
      </c>
      <c r="L19" s="5">
        <v>0.9488</v>
      </c>
      <c r="M19" s="5">
        <v>0.2908</v>
      </c>
      <c r="N19" s="5">
        <f t="shared" si="14"/>
        <v>476.6</v>
      </c>
      <c r="O19" s="5">
        <f t="shared" si="15"/>
        <v>6.19633493437367</v>
      </c>
      <c r="P19" s="5">
        <f t="shared" si="16"/>
        <v>6.0399537203682</v>
      </c>
      <c r="Q19" s="5">
        <f t="shared" si="17"/>
        <v>491.543622626374</v>
      </c>
      <c r="R19" s="5">
        <f t="shared" si="18"/>
        <v>420.557408247984</v>
      </c>
    </row>
    <row r="20" spans="1:26">
      <c r="A20" s="10" t="s">
        <v>361</v>
      </c>
      <c r="B20" s="11">
        <v>499.3</v>
      </c>
      <c r="C20" s="11">
        <v>6.3628</v>
      </c>
      <c r="D20" s="11">
        <v>4.1637</v>
      </c>
      <c r="E20" s="11">
        <f t="shared" si="5"/>
        <v>499.3</v>
      </c>
      <c r="F20" s="11">
        <f t="shared" si="6"/>
        <v>6.06434970093877</v>
      </c>
      <c r="G20" s="11">
        <f t="shared" si="7"/>
        <v>5.86173665296458</v>
      </c>
      <c r="H20" s="11">
        <f t="shared" si="8"/>
        <v>430.745010998465</v>
      </c>
      <c r="I20" s="11">
        <f t="shared" si="9"/>
        <v>351.745348039245</v>
      </c>
      <c r="J20" s="4" t="s">
        <v>421</v>
      </c>
      <c r="K20" s="5">
        <v>500.4</v>
      </c>
      <c r="L20" s="5">
        <v>0.8033</v>
      </c>
      <c r="M20" s="5">
        <v>0.2634</v>
      </c>
      <c r="N20" s="5">
        <f t="shared" si="14"/>
        <v>500.4</v>
      </c>
      <c r="O20" s="5">
        <f t="shared" si="15"/>
        <v>6.02986514930998</v>
      </c>
      <c r="P20" s="5">
        <f t="shared" si="16"/>
        <v>5.94099176401802</v>
      </c>
      <c r="Q20" s="5">
        <f t="shared" si="17"/>
        <v>416.164620632131</v>
      </c>
      <c r="R20" s="5">
        <f t="shared" si="18"/>
        <v>380.931297567122</v>
      </c>
      <c r="T20">
        <f t="shared" ref="T20:X20" si="19">AVERAGE(S12:S14)</f>
        <v>7.65271264642243</v>
      </c>
      <c r="V20">
        <f t="shared" si="19"/>
        <v>17.1191403889109</v>
      </c>
      <c r="X20">
        <f t="shared" si="19"/>
        <v>2.03501101621565</v>
      </c>
      <c r="Z20">
        <f>AVERAGE(Y12:Y14)</f>
        <v>2.83974070277417</v>
      </c>
    </row>
    <row r="21" spans="1:26">
      <c r="A21" s="10" t="s">
        <v>362</v>
      </c>
      <c r="B21" s="11">
        <v>523.5</v>
      </c>
      <c r="C21" s="11">
        <v>5.1371</v>
      </c>
      <c r="D21" s="11">
        <v>3.53</v>
      </c>
      <c r="E21" s="11">
        <f t="shared" si="5"/>
        <v>523.5</v>
      </c>
      <c r="F21" s="11">
        <f t="shared" si="6"/>
        <v>5.85036988680711</v>
      </c>
      <c r="G21" s="11">
        <f t="shared" si="7"/>
        <v>5.69663042186201</v>
      </c>
      <c r="H21" s="11">
        <f t="shared" si="8"/>
        <v>347.768308920635</v>
      </c>
      <c r="I21" s="11">
        <f t="shared" si="9"/>
        <v>298.210985080226</v>
      </c>
      <c r="J21" s="12"/>
    </row>
    <row r="22" spans="1:26">
      <c r="A22" s="10" t="s">
        <v>363</v>
      </c>
      <c r="B22" s="11">
        <v>547.8</v>
      </c>
      <c r="C22" s="11">
        <v>4.5435</v>
      </c>
      <c r="D22" s="11">
        <v>3.1038</v>
      </c>
      <c r="E22" s="11">
        <f t="shared" si="5"/>
        <v>547.8</v>
      </c>
      <c r="F22" s="11">
        <f t="shared" si="6"/>
        <v>5.72757880904996</v>
      </c>
      <c r="G22" s="11">
        <f t="shared" si="7"/>
        <v>5.5679597181722</v>
      </c>
      <c r="H22" s="11">
        <f t="shared" si="8"/>
        <v>307.583132814409</v>
      </c>
      <c r="I22" s="11">
        <f t="shared" si="9"/>
        <v>262.206021385837</v>
      </c>
      <c r="J22" s="12"/>
    </row>
    <row r="23" spans="1:26">
      <c r="A23" s="10" t="s">
        <v>364</v>
      </c>
      <c r="B23" s="11">
        <v>572.8</v>
      </c>
      <c r="C23" s="11">
        <v>3.79</v>
      </c>
      <c r="D23" s="11">
        <v>2.6142</v>
      </c>
      <c r="E23" s="11">
        <f t="shared" si="5"/>
        <v>572.8</v>
      </c>
      <c r="F23" s="11">
        <f t="shared" si="6"/>
        <v>5.54624718799103</v>
      </c>
      <c r="G23" s="11">
        <f t="shared" si="7"/>
        <v>5.39629067428612</v>
      </c>
      <c r="H23" s="11">
        <f t="shared" si="8"/>
        <v>256.573142591969</v>
      </c>
      <c r="I23" s="11">
        <f t="shared" si="9"/>
        <v>220.845087024568</v>
      </c>
      <c r="J23" s="12"/>
    </row>
    <row r="24" spans="1:26">
      <c r="A24" s="10" t="s">
        <v>365</v>
      </c>
      <c r="B24" s="11">
        <v>596.2</v>
      </c>
      <c r="C24" s="11">
        <v>3.2488</v>
      </c>
      <c r="D24" s="11">
        <v>2.258</v>
      </c>
      <c r="E24" s="11">
        <f t="shared" si="5"/>
        <v>596.2</v>
      </c>
      <c r="F24" s="11">
        <f t="shared" si="6"/>
        <v>5.39216686628665</v>
      </c>
      <c r="G24" s="11">
        <f t="shared" si="7"/>
        <v>5.24981201664428</v>
      </c>
      <c r="H24" s="11">
        <f t="shared" si="8"/>
        <v>219.935310198625</v>
      </c>
      <c r="I24" s="11">
        <f t="shared" si="9"/>
        <v>190.753655612224</v>
      </c>
      <c r="J24" s="13" t="s">
        <v>366</v>
      </c>
      <c r="K24" s="7">
        <v>598.5</v>
      </c>
      <c r="L24" s="7">
        <v>32.8578</v>
      </c>
      <c r="M24" s="7">
        <v>29.6941</v>
      </c>
      <c r="N24" s="7">
        <f t="shared" ref="N24:N42" si="20">K24</f>
        <v>598.5</v>
      </c>
      <c r="O24" s="7">
        <f t="shared" ref="O24:O42" si="21">LN(L24)+$X$49+$X$42</f>
        <v>5.36887605886379</v>
      </c>
      <c r="P24" s="7">
        <f t="shared" ref="P24:P42" si="22">LN(M24)+$Z$49+$Z$42</f>
        <v>5.24960751237125</v>
      </c>
      <c r="Q24" s="7">
        <f t="shared" ref="Q24:Q42" si="23">L24*$T$42*$T$49</f>
        <v>214.800102966065</v>
      </c>
      <c r="R24" s="7">
        <f t="shared" ref="R24:R42" si="24">M24*$V$42*$V$49</f>
        <v>190.670486821098</v>
      </c>
      <c r="S24">
        <f t="shared" ref="S24:S29" si="25">L24/C24</f>
        <v>10.1138266436838</v>
      </c>
      <c r="U24">
        <f t="shared" ref="U24:U29" si="26">M24/D24</f>
        <v>13.1506200177148</v>
      </c>
      <c r="W24">
        <f t="shared" ref="W24:W29" si="27">LN(L24)-LN(C24)</f>
        <v>2.31390346227793</v>
      </c>
      <c r="Y24">
        <f t="shared" ref="Y24:Y29" si="28">LN(M24)-LN(D24)</f>
        <v>2.57646890714837</v>
      </c>
    </row>
    <row r="25" spans="1:26">
      <c r="A25" s="10" t="s">
        <v>367</v>
      </c>
      <c r="B25" s="11">
        <v>621.6</v>
      </c>
      <c r="C25" s="11">
        <v>2.8244</v>
      </c>
      <c r="D25" s="11">
        <v>1.8902</v>
      </c>
      <c r="E25" s="11">
        <f t="shared" si="5"/>
        <v>621.6</v>
      </c>
      <c r="F25" s="11">
        <f t="shared" si="6"/>
        <v>5.25217712155675</v>
      </c>
      <c r="G25" s="11">
        <f t="shared" si="7"/>
        <v>5.07201519449563</v>
      </c>
      <c r="H25" s="11">
        <f t="shared" si="8"/>
        <v>191.204534020253</v>
      </c>
      <c r="I25" s="11">
        <f t="shared" si="9"/>
        <v>159.682267421712</v>
      </c>
      <c r="J25" s="13" t="s">
        <v>368</v>
      </c>
      <c r="K25" s="7">
        <v>619.1</v>
      </c>
      <c r="L25" s="7">
        <v>29.7785</v>
      </c>
      <c r="M25" s="7">
        <v>25.7206</v>
      </c>
      <c r="N25" s="7">
        <f t="shared" si="20"/>
        <v>619.1</v>
      </c>
      <c r="O25" s="7">
        <f t="shared" si="21"/>
        <v>5.27047355580777</v>
      </c>
      <c r="P25" s="7">
        <f t="shared" si="22"/>
        <v>5.10595136674203</v>
      </c>
      <c r="Q25" s="7">
        <f t="shared" si="23"/>
        <v>194.669906876753</v>
      </c>
      <c r="R25" s="7">
        <f t="shared" si="24"/>
        <v>165.15601831107</v>
      </c>
      <c r="S25">
        <f t="shared" si="25"/>
        <v>10.5433012321201</v>
      </c>
      <c r="U25">
        <f t="shared" si="26"/>
        <v>13.6073431382922</v>
      </c>
      <c r="W25">
        <f t="shared" si="27"/>
        <v>2.35549070395181</v>
      </c>
      <c r="Y25">
        <f t="shared" si="28"/>
        <v>2.6106095836678</v>
      </c>
    </row>
    <row r="26" spans="1:26">
      <c r="A26" s="10" t="s">
        <v>369</v>
      </c>
      <c r="B26" s="11">
        <v>646.3</v>
      </c>
      <c r="C26" s="11">
        <v>2.262</v>
      </c>
      <c r="D26" s="11">
        <v>1.6908</v>
      </c>
      <c r="E26" s="11">
        <f t="shared" si="5"/>
        <v>646.3</v>
      </c>
      <c r="F26" s="11">
        <f t="shared" si="6"/>
        <v>5.03013054659063</v>
      </c>
      <c r="G26" s="11">
        <f t="shared" si="7"/>
        <v>4.96053434062731</v>
      </c>
      <c r="H26" s="11">
        <f t="shared" si="8"/>
        <v>153.131516765972</v>
      </c>
      <c r="I26" s="11">
        <f t="shared" si="9"/>
        <v>142.837148321146</v>
      </c>
      <c r="J26" s="13" t="s">
        <v>370</v>
      </c>
      <c r="K26" s="7">
        <v>645.7</v>
      </c>
      <c r="L26" s="7">
        <v>24.2188</v>
      </c>
      <c r="M26" s="7">
        <v>21.7039</v>
      </c>
      <c r="N26" s="7">
        <f t="shared" si="20"/>
        <v>645.7</v>
      </c>
      <c r="O26" s="7">
        <f t="shared" si="21"/>
        <v>5.06381609026353</v>
      </c>
      <c r="P26" s="7">
        <f t="shared" si="22"/>
        <v>4.93615110739579</v>
      </c>
      <c r="Q26" s="7">
        <f t="shared" si="23"/>
        <v>158.32468192376</v>
      </c>
      <c r="R26" s="7">
        <f t="shared" si="24"/>
        <v>139.364155805915</v>
      </c>
      <c r="S26">
        <f t="shared" si="25"/>
        <v>10.7068081343943</v>
      </c>
      <c r="U26">
        <f t="shared" si="26"/>
        <v>12.8364679441684</v>
      </c>
      <c r="W26">
        <f t="shared" si="27"/>
        <v>2.37087981337369</v>
      </c>
      <c r="Y26">
        <f t="shared" si="28"/>
        <v>2.55229017818989</v>
      </c>
    </row>
    <row r="27" spans="1:26">
      <c r="A27" s="10" t="s">
        <v>371</v>
      </c>
      <c r="B27" s="11">
        <v>667.5</v>
      </c>
      <c r="C27" s="11">
        <v>2</v>
      </c>
      <c r="D27" s="11">
        <v>1.4724</v>
      </c>
      <c r="E27" s="11">
        <f t="shared" si="5"/>
        <v>667.5</v>
      </c>
      <c r="F27" s="11">
        <f t="shared" si="6"/>
        <v>4.90702834945664</v>
      </c>
      <c r="G27" s="11">
        <f t="shared" si="7"/>
        <v>4.82222627343954</v>
      </c>
      <c r="H27" s="11">
        <f t="shared" si="8"/>
        <v>135.394798201567</v>
      </c>
      <c r="I27" s="11">
        <f t="shared" si="9"/>
        <v>124.386927601168</v>
      </c>
      <c r="J27" s="13" t="s">
        <v>371</v>
      </c>
      <c r="K27" s="7">
        <v>666.9</v>
      </c>
      <c r="L27" s="7">
        <v>20.4012</v>
      </c>
      <c r="M27" s="7">
        <v>19.1907</v>
      </c>
      <c r="N27" s="7">
        <f t="shared" si="20"/>
        <v>666.9</v>
      </c>
      <c r="O27" s="7">
        <f t="shared" si="21"/>
        <v>4.89228062184546</v>
      </c>
      <c r="P27" s="7">
        <f t="shared" si="22"/>
        <v>4.81308492618168</v>
      </c>
      <c r="Q27" s="7">
        <f t="shared" si="23"/>
        <v>133.368024050036</v>
      </c>
      <c r="R27" s="7">
        <f t="shared" si="24"/>
        <v>123.226503293168</v>
      </c>
      <c r="S27">
        <f t="shared" si="25"/>
        <v>10.2006</v>
      </c>
      <c r="U27">
        <f t="shared" si="26"/>
        <v>13.0336185819071</v>
      </c>
      <c r="W27">
        <f t="shared" si="27"/>
        <v>2.3224465420896</v>
      </c>
      <c r="Y27">
        <f t="shared" si="28"/>
        <v>2.56753206416354</v>
      </c>
    </row>
    <row r="28" spans="1:26">
      <c r="A28" s="10" t="s">
        <v>372</v>
      </c>
      <c r="B28" s="11">
        <v>692.5</v>
      </c>
      <c r="C28" s="11">
        <v>1.7754</v>
      </c>
      <c r="D28" s="11">
        <v>1.2444</v>
      </c>
      <c r="E28" s="11">
        <f t="shared" si="5"/>
        <v>692.5</v>
      </c>
      <c r="F28" s="11">
        <f t="shared" si="6"/>
        <v>4.78790691854878</v>
      </c>
      <c r="G28" s="11">
        <f t="shared" si="7"/>
        <v>4.65398603695815</v>
      </c>
      <c r="H28" s="11">
        <f t="shared" si="8"/>
        <v>120.189962363531</v>
      </c>
      <c r="I28" s="11">
        <f t="shared" si="9"/>
        <v>105.125708168225</v>
      </c>
      <c r="J28" s="13" t="s">
        <v>373</v>
      </c>
      <c r="K28" s="7">
        <v>692.7</v>
      </c>
      <c r="L28" s="7">
        <v>17.728</v>
      </c>
      <c r="M28" s="7">
        <v>16.015</v>
      </c>
      <c r="N28" s="7">
        <f t="shared" si="20"/>
        <v>692.7</v>
      </c>
      <c r="O28" s="7">
        <f t="shared" si="21"/>
        <v>4.75183220976078</v>
      </c>
      <c r="P28" s="7">
        <f t="shared" si="22"/>
        <v>4.63218492255653</v>
      </c>
      <c r="Q28" s="7">
        <f t="shared" si="23"/>
        <v>115.89261074638</v>
      </c>
      <c r="R28" s="7">
        <f t="shared" si="24"/>
        <v>102.834834072758</v>
      </c>
      <c r="S28">
        <f t="shared" si="25"/>
        <v>9.98535541286471</v>
      </c>
      <c r="U28">
        <f t="shared" si="26"/>
        <v>12.869656059145</v>
      </c>
      <c r="W28">
        <f t="shared" si="27"/>
        <v>2.30111956091279</v>
      </c>
      <c r="Y28">
        <f t="shared" si="28"/>
        <v>2.55487229701978</v>
      </c>
    </row>
    <row r="29" spans="1:26">
      <c r="A29" s="10" t="s">
        <v>374</v>
      </c>
      <c r="B29" s="11">
        <v>715.2</v>
      </c>
      <c r="C29" s="11">
        <v>1.4491</v>
      </c>
      <c r="D29" s="11">
        <v>1.0383</v>
      </c>
      <c r="E29" s="11">
        <f t="shared" si="5"/>
        <v>715.2</v>
      </c>
      <c r="F29" s="11">
        <f t="shared" si="6"/>
        <v>4.58482384296644</v>
      </c>
      <c r="G29" s="11">
        <f t="shared" si="7"/>
        <v>4.47291731124408</v>
      </c>
      <c r="H29" s="11">
        <f t="shared" si="8"/>
        <v>98.1003010369453</v>
      </c>
      <c r="I29" s="11">
        <f t="shared" si="9"/>
        <v>87.7145795492347</v>
      </c>
      <c r="J29" s="13" t="s">
        <v>375</v>
      </c>
      <c r="K29" s="7">
        <v>714.6</v>
      </c>
      <c r="L29" s="7">
        <v>15.337</v>
      </c>
      <c r="M29" s="7">
        <v>13.9552</v>
      </c>
      <c r="N29" s="7">
        <f t="shared" si="20"/>
        <v>714.6</v>
      </c>
      <c r="O29" s="7">
        <f t="shared" si="21"/>
        <v>4.60695510886455</v>
      </c>
      <c r="P29" s="7">
        <f t="shared" si="22"/>
        <v>4.49451133816171</v>
      </c>
      <c r="Q29" s="7">
        <f t="shared" si="23"/>
        <v>100.262013256838</v>
      </c>
      <c r="R29" s="7">
        <f t="shared" si="24"/>
        <v>89.6085342773745</v>
      </c>
      <c r="S29">
        <f t="shared" si="25"/>
        <v>10.5838106410876</v>
      </c>
      <c r="T29">
        <f t="shared" ref="T29:X29" si="29">AVERAGE(S24:S29)</f>
        <v>10.3556170106918</v>
      </c>
      <c r="U29">
        <f t="shared" si="26"/>
        <v>13.4404314745257</v>
      </c>
      <c r="V29">
        <f t="shared" si="29"/>
        <v>13.1563562026255</v>
      </c>
      <c r="W29">
        <f t="shared" si="27"/>
        <v>2.3593255355989</v>
      </c>
      <c r="X29">
        <f t="shared" si="29"/>
        <v>2.33719426970079</v>
      </c>
      <c r="Y29">
        <f t="shared" si="28"/>
        <v>2.59826743833904</v>
      </c>
      <c r="Z29">
        <f>AVERAGE(Y24:Y29)</f>
        <v>2.5766734114214</v>
      </c>
    </row>
    <row r="30" spans="1:26">
      <c r="J30" s="13" t="s">
        <v>376</v>
      </c>
      <c r="K30" s="7">
        <v>741</v>
      </c>
      <c r="L30" s="7">
        <v>12.5031</v>
      </c>
      <c r="M30" s="7">
        <v>11.9185</v>
      </c>
      <c r="N30" s="7">
        <f t="shared" si="20"/>
        <v>741</v>
      </c>
      <c r="O30" s="7">
        <f t="shared" si="21"/>
        <v>4.40266351275725</v>
      </c>
      <c r="P30" s="7">
        <f t="shared" si="22"/>
        <v>4.33675095428805</v>
      </c>
      <c r="Q30" s="7">
        <f t="shared" si="23"/>
        <v>81.7360616777448</v>
      </c>
      <c r="R30" s="7">
        <f t="shared" si="24"/>
        <v>76.5305632154959</v>
      </c>
    </row>
    <row r="31" spans="1:26">
      <c r="J31" s="13" t="s">
        <v>377</v>
      </c>
      <c r="K31" s="7">
        <v>763</v>
      </c>
      <c r="L31" s="7">
        <v>10.161</v>
      </c>
      <c r="M31" s="7">
        <v>10.1617</v>
      </c>
      <c r="N31" s="7">
        <f t="shared" si="20"/>
        <v>763</v>
      </c>
      <c r="O31" s="7">
        <f t="shared" si="21"/>
        <v>4.19524376169965</v>
      </c>
      <c r="P31" s="7">
        <f t="shared" si="22"/>
        <v>4.17728489048348</v>
      </c>
      <c r="Q31" s="7">
        <f t="shared" si="23"/>
        <v>66.4251363827823</v>
      </c>
      <c r="R31" s="7">
        <f t="shared" si="24"/>
        <v>65.2498740803712</v>
      </c>
    </row>
    <row r="32" spans="1:26">
      <c r="J32" s="13" t="s">
        <v>378</v>
      </c>
      <c r="K32" s="7">
        <v>786.8</v>
      </c>
      <c r="L32" s="7">
        <v>9.1538</v>
      </c>
      <c r="M32" s="7">
        <v>8.8517</v>
      </c>
      <c r="N32" s="7">
        <f t="shared" si="20"/>
        <v>786.8</v>
      </c>
      <c r="O32" s="7">
        <f t="shared" si="21"/>
        <v>4.09085599281639</v>
      </c>
      <c r="P32" s="7">
        <f t="shared" si="22"/>
        <v>4.03926867046373</v>
      </c>
      <c r="Q32" s="7">
        <f t="shared" si="23"/>
        <v>59.8408043913702</v>
      </c>
      <c r="R32" s="7">
        <f t="shared" si="24"/>
        <v>56.8381580244666</v>
      </c>
    </row>
    <row r="33" spans="1:26">
      <c r="J33" s="13" t="s">
        <v>379</v>
      </c>
      <c r="K33" s="7">
        <v>811.6</v>
      </c>
      <c r="L33" s="7">
        <v>8.2592</v>
      </c>
      <c r="M33" s="7">
        <v>7.5297</v>
      </c>
      <c r="N33" s="7">
        <f t="shared" si="20"/>
        <v>811.6</v>
      </c>
      <c r="O33" s="7">
        <f t="shared" si="21"/>
        <v>3.98801462973807</v>
      </c>
      <c r="P33" s="7">
        <f t="shared" si="22"/>
        <v>3.8775143398761</v>
      </c>
      <c r="Q33" s="7">
        <f t="shared" si="23"/>
        <v>53.99256829177</v>
      </c>
      <c r="R33" s="7">
        <f t="shared" si="24"/>
        <v>48.3493880810269</v>
      </c>
    </row>
    <row r="34" spans="1:26">
      <c r="J34" s="13" t="s">
        <v>380</v>
      </c>
      <c r="K34" s="7">
        <v>834.7</v>
      </c>
      <c r="L34" s="7">
        <v>7.0676</v>
      </c>
      <c r="M34" s="7">
        <v>6.28</v>
      </c>
      <c r="N34" s="7">
        <f t="shared" si="20"/>
        <v>834.7</v>
      </c>
      <c r="O34" s="7">
        <f t="shared" si="21"/>
        <v>3.83220785895627</v>
      </c>
      <c r="P34" s="7">
        <f t="shared" si="22"/>
        <v>3.69602911997551</v>
      </c>
      <c r="Q34" s="7">
        <f t="shared" si="23"/>
        <v>46.2027648754013</v>
      </c>
      <c r="R34" s="7">
        <f t="shared" si="24"/>
        <v>40.3248678099857</v>
      </c>
    </row>
    <row r="35" spans="1:26">
      <c r="J35" s="13" t="s">
        <v>381</v>
      </c>
      <c r="K35" s="7">
        <v>858.9</v>
      </c>
      <c r="L35" s="7">
        <v>6.0433</v>
      </c>
      <c r="M35" s="7">
        <v>5.4526</v>
      </c>
      <c r="N35" s="7">
        <f t="shared" si="20"/>
        <v>858.9</v>
      </c>
      <c r="O35" s="7">
        <f t="shared" si="21"/>
        <v>3.67563711955955</v>
      </c>
      <c r="P35" s="7">
        <f t="shared" si="22"/>
        <v>3.55475169863178</v>
      </c>
      <c r="Q35" s="7">
        <f t="shared" si="23"/>
        <v>39.5066456748419</v>
      </c>
      <c r="R35" s="7">
        <f t="shared" si="24"/>
        <v>35.0120022644471</v>
      </c>
    </row>
    <row r="36" spans="1:26">
      <c r="J36" s="13" t="s">
        <v>382</v>
      </c>
      <c r="K36" s="7">
        <v>884.7</v>
      </c>
      <c r="L36" s="7">
        <v>4.9239</v>
      </c>
      <c r="M36" s="7">
        <v>4.6248</v>
      </c>
      <c r="N36" s="7">
        <f t="shared" si="20"/>
        <v>884.7</v>
      </c>
      <c r="O36" s="7">
        <f t="shared" si="21"/>
        <v>3.47078779861977</v>
      </c>
      <c r="P36" s="7">
        <f t="shared" si="22"/>
        <v>3.39009226628153</v>
      </c>
      <c r="Q36" s="7">
        <f t="shared" si="23"/>
        <v>32.1888326970949</v>
      </c>
      <c r="R36" s="7">
        <f t="shared" si="24"/>
        <v>29.6965682559907</v>
      </c>
    </row>
    <row r="37" spans="1:26">
      <c r="J37" s="13" t="s">
        <v>383</v>
      </c>
      <c r="K37" s="7">
        <v>911.2</v>
      </c>
      <c r="L37" s="7">
        <v>4.2694</v>
      </c>
      <c r="M37" s="7">
        <v>3.9426</v>
      </c>
      <c r="N37" s="7">
        <f t="shared" si="20"/>
        <v>911.2</v>
      </c>
      <c r="O37" s="7">
        <f t="shared" si="21"/>
        <v>3.32816020134077</v>
      </c>
      <c r="P37" s="7">
        <f t="shared" si="22"/>
        <v>3.23049954364515</v>
      </c>
      <c r="Q37" s="7">
        <f t="shared" si="23"/>
        <v>27.9101936101418</v>
      </c>
      <c r="R37" s="7">
        <f t="shared" si="24"/>
        <v>25.3160547496257</v>
      </c>
    </row>
    <row r="38" spans="1:26">
      <c r="J38" s="13" t="s">
        <v>384</v>
      </c>
      <c r="K38" s="7">
        <v>931.4</v>
      </c>
      <c r="L38" s="7">
        <v>3.8203</v>
      </c>
      <c r="M38" s="7">
        <v>3.5601</v>
      </c>
      <c r="N38" s="7">
        <f t="shared" si="20"/>
        <v>931.4</v>
      </c>
      <c r="O38" s="7">
        <f t="shared" si="21"/>
        <v>3.21701585276217</v>
      </c>
      <c r="P38" s="7">
        <f t="shared" si="22"/>
        <v>3.12844777385247</v>
      </c>
      <c r="Q38" s="7">
        <f t="shared" si="23"/>
        <v>24.9743084856946</v>
      </c>
      <c r="R38" s="7">
        <f t="shared" si="24"/>
        <v>22.8599620844474</v>
      </c>
    </row>
    <row r="39" spans="1:26">
      <c r="A39" s="14" t="s">
        <v>385</v>
      </c>
      <c r="B39" s="8">
        <v>955.6</v>
      </c>
      <c r="C39" s="8">
        <v>9.5982</v>
      </c>
      <c r="D39" s="8">
        <v>8.9424</v>
      </c>
      <c r="E39" s="8">
        <f t="shared" ref="E39:E49" si="30">B39</f>
        <v>955.6</v>
      </c>
      <c r="F39" s="8">
        <f t="shared" ref="F39:F49" si="31">LN(C39)+$X$49</f>
        <v>3.02530106019454</v>
      </c>
      <c r="G39" s="8">
        <f t="shared" ref="G39:G49" si="32">LN(D39)+$Z$49</f>
        <v>2.9548193753527</v>
      </c>
      <c r="H39" s="8">
        <f t="shared" ref="H39:H49" si="33">C39*$T$49</f>
        <v>20.614165399634</v>
      </c>
      <c r="I39" s="8">
        <f t="shared" ref="I39:I49" si="34">D39*$V$49</f>
        <v>19.2041286966053</v>
      </c>
      <c r="J39" s="13" t="s">
        <v>386</v>
      </c>
      <c r="K39" s="7">
        <v>955.4</v>
      </c>
      <c r="L39" s="7">
        <v>3.1989</v>
      </c>
      <c r="M39" s="7">
        <v>3.0599</v>
      </c>
      <c r="N39" s="7">
        <f t="shared" si="20"/>
        <v>955.4</v>
      </c>
      <c r="O39" s="7">
        <f t="shared" si="21"/>
        <v>3.03949389990602</v>
      </c>
      <c r="P39" s="7">
        <f t="shared" si="22"/>
        <v>2.97704137518714</v>
      </c>
      <c r="Q39" s="7">
        <f t="shared" si="23"/>
        <v>20.9120528269739</v>
      </c>
      <c r="R39" s="7">
        <f t="shared" si="24"/>
        <v>19.6480992056967</v>
      </c>
      <c r="S39">
        <f t="shared" ref="S39:S42" si="35">C39/L39</f>
        <v>3.00046891118822</v>
      </c>
      <c r="U39">
        <f t="shared" ref="U39:U42" si="36">D39/M39</f>
        <v>2.92244844602765</v>
      </c>
      <c r="W39">
        <f t="shared" ref="W39:W42" si="37">LN(C39)-LN(L39)</f>
        <v>1.09876858018336</v>
      </c>
      <c r="Y39">
        <f t="shared" ref="Y39:Y42" si="38">LN(D39)-LN(M39)</f>
        <v>1.07242177384156</v>
      </c>
    </row>
    <row r="40" spans="1:26">
      <c r="A40" s="14" t="s">
        <v>387</v>
      </c>
      <c r="B40" s="8">
        <v>979</v>
      </c>
      <c r="C40" s="8">
        <v>8.1552</v>
      </c>
      <c r="D40" s="8">
        <v>7.6349</v>
      </c>
      <c r="E40" s="8">
        <f t="shared" si="30"/>
        <v>979</v>
      </c>
      <c r="F40" s="8">
        <f t="shared" si="31"/>
        <v>2.86238123990471</v>
      </c>
      <c r="G40" s="8">
        <f t="shared" si="32"/>
        <v>2.79674520682728</v>
      </c>
      <c r="H40" s="8">
        <f t="shared" si="33"/>
        <v>17.515017572784</v>
      </c>
      <c r="I40" s="8">
        <f t="shared" si="34"/>
        <v>16.3962249715638</v>
      </c>
      <c r="J40" s="13" t="s">
        <v>388</v>
      </c>
      <c r="K40" s="7">
        <v>979.4</v>
      </c>
      <c r="L40" s="7">
        <v>2.718</v>
      </c>
      <c r="M40" s="7">
        <v>2.5354</v>
      </c>
      <c r="N40" s="7">
        <f t="shared" si="20"/>
        <v>979.4</v>
      </c>
      <c r="O40" s="7">
        <f t="shared" si="21"/>
        <v>2.87658321492486</v>
      </c>
      <c r="P40" s="7">
        <f t="shared" si="22"/>
        <v>2.78901055501789</v>
      </c>
      <c r="Q40" s="7">
        <f t="shared" si="23"/>
        <v>17.768282717095</v>
      </c>
      <c r="R40" s="7">
        <f t="shared" si="24"/>
        <v>16.2802022046875</v>
      </c>
      <c r="S40">
        <f t="shared" si="35"/>
        <v>3.00044150110375</v>
      </c>
      <c r="U40">
        <f t="shared" si="36"/>
        <v>3.01131971286582</v>
      </c>
      <c r="W40">
        <f t="shared" si="37"/>
        <v>1.09875944487469</v>
      </c>
      <c r="Y40">
        <f t="shared" si="38"/>
        <v>1.10237842548538</v>
      </c>
    </row>
    <row r="41" spans="1:26">
      <c r="A41" s="14" t="s">
        <v>389</v>
      </c>
      <c r="B41" s="8">
        <v>1004.2</v>
      </c>
      <c r="C41" s="8">
        <v>7.1236</v>
      </c>
      <c r="D41" s="8">
        <v>6.3439</v>
      </c>
      <c r="E41" s="8">
        <f t="shared" si="30"/>
        <v>1004.2</v>
      </c>
      <c r="F41" s="8">
        <f t="shared" si="31"/>
        <v>2.72713869492078</v>
      </c>
      <c r="G41" s="8">
        <f t="shared" si="32"/>
        <v>2.61150908710212</v>
      </c>
      <c r="H41" s="8">
        <f t="shared" si="33"/>
        <v>15.299438294767</v>
      </c>
      <c r="I41" s="8">
        <f t="shared" si="34"/>
        <v>13.6237555956337</v>
      </c>
      <c r="J41" s="13" t="s">
        <v>390</v>
      </c>
      <c r="K41" s="7">
        <v>1004.1</v>
      </c>
      <c r="L41" s="7">
        <v>2.3415</v>
      </c>
      <c r="M41" s="7">
        <v>2.2087</v>
      </c>
      <c r="N41" s="7">
        <f t="shared" si="20"/>
        <v>1004.1</v>
      </c>
      <c r="O41" s="7">
        <f t="shared" si="21"/>
        <v>2.72747864883737</v>
      </c>
      <c r="P41" s="7">
        <f t="shared" si="22"/>
        <v>2.65106324665269</v>
      </c>
      <c r="Q41" s="7">
        <f t="shared" si="23"/>
        <v>15.3070029367468</v>
      </c>
      <c r="R41" s="7">
        <f t="shared" si="24"/>
        <v>14.182410116547</v>
      </c>
      <c r="S41">
        <f t="shared" si="35"/>
        <v>3.04232329703182</v>
      </c>
      <c r="U41">
        <f t="shared" si="36"/>
        <v>2.87223253497532</v>
      </c>
      <c r="W41">
        <f t="shared" si="37"/>
        <v>1.11262146597825</v>
      </c>
      <c r="Y41">
        <f t="shared" si="38"/>
        <v>1.05508961412543</v>
      </c>
    </row>
    <row r="42" spans="1:26">
      <c r="A42" s="14" t="s">
        <v>391</v>
      </c>
      <c r="B42" s="8">
        <v>1027.5</v>
      </c>
      <c r="C42" s="8">
        <v>6.0139</v>
      </c>
      <c r="D42" s="8">
        <v>5.6552</v>
      </c>
      <c r="E42" s="8">
        <f t="shared" si="30"/>
        <v>1027.5</v>
      </c>
      <c r="F42" s="8">
        <f t="shared" si="31"/>
        <v>2.55779893586086</v>
      </c>
      <c r="G42" s="8">
        <f t="shared" si="32"/>
        <v>2.49659084169402</v>
      </c>
      <c r="H42" s="8">
        <f t="shared" si="33"/>
        <v>12.9161227414368</v>
      </c>
      <c r="I42" s="8">
        <f t="shared" si="34"/>
        <v>12.144747339086</v>
      </c>
      <c r="J42" s="13" t="s">
        <v>392</v>
      </c>
      <c r="K42" s="7">
        <v>1027.8</v>
      </c>
      <c r="L42" s="7">
        <v>1.9201</v>
      </c>
      <c r="M42" s="7">
        <v>1.793</v>
      </c>
      <c r="N42" s="7">
        <f t="shared" si="20"/>
        <v>1027.8</v>
      </c>
      <c r="O42" s="7">
        <f t="shared" si="21"/>
        <v>2.52906416721264</v>
      </c>
      <c r="P42" s="7">
        <f t="shared" si="22"/>
        <v>2.4425493341184</v>
      </c>
      <c r="Q42" s="7">
        <f t="shared" si="23"/>
        <v>12.5522000165909</v>
      </c>
      <c r="R42" s="7">
        <f t="shared" si="24"/>
        <v>11.5131350291886</v>
      </c>
      <c r="S42">
        <f t="shared" si="35"/>
        <v>3.13207645435134</v>
      </c>
      <c r="T42">
        <f t="shared" ref="T42:X42" si="39">AVERAGE(S39:S42)</f>
        <v>3.04382754091878</v>
      </c>
      <c r="U42">
        <f t="shared" si="36"/>
        <v>3.15404350250976</v>
      </c>
      <c r="V42">
        <f t="shared" si="39"/>
        <v>2.99001104909464</v>
      </c>
      <c r="W42">
        <f t="shared" si="37"/>
        <v>1.14169618854305</v>
      </c>
      <c r="X42">
        <f t="shared" si="39"/>
        <v>1.11296141989484</v>
      </c>
      <c r="Y42">
        <f t="shared" si="38"/>
        <v>1.14868528125161</v>
      </c>
      <c r="Z42">
        <f>AVERAGE(Y39:Y42)</f>
        <v>1.094643773676</v>
      </c>
    </row>
    <row r="43" spans="1:26">
      <c r="A43" s="14" t="s">
        <v>393</v>
      </c>
      <c r="B43" s="8">
        <v>1051.7</v>
      </c>
      <c r="C43" s="8">
        <v>5.3382</v>
      </c>
      <c r="D43" s="8">
        <v>4.6943</v>
      </c>
      <c r="E43" s="8">
        <f t="shared" si="30"/>
        <v>1051.7</v>
      </c>
      <c r="F43" s="8">
        <f t="shared" si="31"/>
        <v>2.43861399679771</v>
      </c>
      <c r="G43" s="8">
        <f t="shared" si="32"/>
        <v>2.31036437258222</v>
      </c>
      <c r="H43" s="8">
        <f t="shared" si="33"/>
        <v>11.4649140189125</v>
      </c>
      <c r="I43" s="8">
        <f t="shared" si="34"/>
        <v>10.0811796990153</v>
      </c>
      <c r="J43" s="12"/>
    </row>
    <row r="44" spans="1:26">
      <c r="A44" s="14" t="s">
        <v>394</v>
      </c>
      <c r="B44" s="8">
        <v>1079.2</v>
      </c>
      <c r="C44" s="8">
        <v>4.1949</v>
      </c>
      <c r="D44" s="8">
        <v>3.9935</v>
      </c>
      <c r="E44" s="8">
        <f t="shared" si="30"/>
        <v>1079.2</v>
      </c>
      <c r="F44" s="8">
        <f t="shared" si="31"/>
        <v>2.19759498103385</v>
      </c>
      <c r="G44" s="8">
        <f t="shared" si="32"/>
        <v>2.14868340519472</v>
      </c>
      <c r="H44" s="8">
        <f t="shared" si="33"/>
        <v>9.0094353561006</v>
      </c>
      <c r="I44" s="8">
        <f t="shared" si="34"/>
        <v>8.57618625311922</v>
      </c>
      <c r="J44" s="12"/>
    </row>
    <row r="45" spans="1:26">
      <c r="A45" s="14" t="s">
        <v>395</v>
      </c>
      <c r="B45" s="8">
        <v>1101.4</v>
      </c>
      <c r="C45" s="8">
        <v>3.6837</v>
      </c>
      <c r="D45" s="8">
        <v>3.4556</v>
      </c>
      <c r="E45" s="8">
        <f t="shared" si="30"/>
        <v>1101.4</v>
      </c>
      <c r="F45" s="8">
        <f t="shared" si="31"/>
        <v>2.06764316115351</v>
      </c>
      <c r="G45" s="8">
        <f t="shared" si="32"/>
        <v>2.004011469322</v>
      </c>
      <c r="H45" s="8">
        <f t="shared" si="33"/>
        <v>7.91152519041402</v>
      </c>
      <c r="I45" s="8">
        <f t="shared" si="34"/>
        <v>7.42102647208684</v>
      </c>
      <c r="J45" s="12"/>
    </row>
    <row r="46" spans="1:26">
      <c r="A46" s="14" t="s">
        <v>396</v>
      </c>
      <c r="B46" s="8">
        <v>1124.9</v>
      </c>
      <c r="C46" s="8">
        <v>3.1073</v>
      </c>
      <c r="D46" s="8">
        <v>2.9427</v>
      </c>
      <c r="E46" s="8">
        <f t="shared" si="30"/>
        <v>1124.9</v>
      </c>
      <c r="F46" s="8">
        <f t="shared" si="31"/>
        <v>1.89747966121424</v>
      </c>
      <c r="G46" s="8">
        <f t="shared" si="32"/>
        <v>1.84334289307565</v>
      </c>
      <c r="H46" s="8">
        <f t="shared" si="33"/>
        <v>6.67358422894739</v>
      </c>
      <c r="I46" s="8">
        <f t="shared" si="34"/>
        <v>6.31955509879903</v>
      </c>
      <c r="J46" s="15" t="s">
        <v>397</v>
      </c>
      <c r="K46" s="16">
        <v>1125.5</v>
      </c>
      <c r="L46" s="16">
        <v>6.761</v>
      </c>
      <c r="M46" s="16">
        <v>6.529</v>
      </c>
      <c r="N46" s="16">
        <f t="shared" ref="N46:N63" si="40">K46</f>
        <v>1125.5</v>
      </c>
      <c r="O46" s="16">
        <f t="shared" ref="O46:O63" si="41">LN(L46)</f>
        <v>1.91117080810854</v>
      </c>
      <c r="P46" s="16">
        <f t="shared" ref="P46:P63" si="42">LN((M46))</f>
        <v>1.8762537922045</v>
      </c>
      <c r="Q46" s="16"/>
      <c r="R46" s="16"/>
      <c r="S46">
        <f t="shared" ref="S46:S49" si="43">L46/C46</f>
        <v>2.17584398030444</v>
      </c>
      <c r="U46">
        <f t="shared" ref="U46:U49" si="44">M46/D46</f>
        <v>2.21871070785333</v>
      </c>
      <c r="W46">
        <f t="shared" ref="W46:W49" si="45">LN(L46)-LN(C46)</f>
        <v>0.777416626195375</v>
      </c>
      <c r="Y46">
        <f t="shared" ref="Y46:Y49" si="46">LN(M46)-LN(D46)</f>
        <v>0.796926264948254</v>
      </c>
    </row>
    <row r="47" spans="1:26">
      <c r="A47" s="14" t="s">
        <v>398</v>
      </c>
      <c r="B47" s="8">
        <v>1148.4</v>
      </c>
      <c r="C47" s="8">
        <v>2.7067</v>
      </c>
      <c r="D47" s="8">
        <v>2.6046</v>
      </c>
      <c r="E47" s="8">
        <f t="shared" si="30"/>
        <v>1148.4</v>
      </c>
      <c r="F47" s="8">
        <f t="shared" si="31"/>
        <v>1.75945566000165</v>
      </c>
      <c r="G47" s="8">
        <f t="shared" si="32"/>
        <v>1.72129447837087</v>
      </c>
      <c r="H47" s="8">
        <f t="shared" si="33"/>
        <v>5.81321096530489</v>
      </c>
      <c r="I47" s="8">
        <f t="shared" si="34"/>
        <v>5.59347307246133</v>
      </c>
      <c r="J47" s="15" t="s">
        <v>399</v>
      </c>
      <c r="K47" s="16">
        <v>1148</v>
      </c>
      <c r="L47" s="16">
        <v>5.7963</v>
      </c>
      <c r="M47" s="16">
        <v>5.5904</v>
      </c>
      <c r="N47" s="16">
        <f t="shared" si="40"/>
        <v>1148</v>
      </c>
      <c r="O47" s="16">
        <f t="shared" si="41"/>
        <v>1.75721978295331</v>
      </c>
      <c r="P47" s="16">
        <f t="shared" si="42"/>
        <v>1.7210508409576</v>
      </c>
      <c r="Q47" s="16"/>
      <c r="R47" s="16"/>
      <c r="S47">
        <f t="shared" si="43"/>
        <v>2.14146377507666</v>
      </c>
      <c r="U47">
        <f t="shared" si="44"/>
        <v>2.14635644628734</v>
      </c>
      <c r="W47">
        <f t="shared" si="45"/>
        <v>0.76148960225273</v>
      </c>
      <c r="Y47">
        <f t="shared" si="46"/>
        <v>0.763771728406135</v>
      </c>
    </row>
    <row r="48" spans="1:26">
      <c r="A48" s="14" t="s">
        <v>400</v>
      </c>
      <c r="B48" s="8">
        <v>1173.1</v>
      </c>
      <c r="C48" s="8">
        <v>2.3568</v>
      </c>
      <c r="D48" s="8">
        <v>2.1778</v>
      </c>
      <c r="E48" s="8">
        <f t="shared" si="30"/>
        <v>1173.1</v>
      </c>
      <c r="F48" s="8">
        <f t="shared" si="31"/>
        <v>1.6210302460273</v>
      </c>
      <c r="G48" s="8">
        <f t="shared" si="32"/>
        <v>1.54233055874923</v>
      </c>
      <c r="H48" s="8">
        <f t="shared" si="33"/>
        <v>5.06172667936253</v>
      </c>
      <c r="I48" s="8">
        <f t="shared" si="34"/>
        <v>4.67690457544586</v>
      </c>
      <c r="J48" s="15" t="s">
        <v>401</v>
      </c>
      <c r="K48" s="16">
        <v>1173.3</v>
      </c>
      <c r="L48" s="16">
        <v>4.7796</v>
      </c>
      <c r="M48" s="16">
        <v>4.6947</v>
      </c>
      <c r="N48" s="16">
        <f t="shared" si="40"/>
        <v>1173.3</v>
      </c>
      <c r="O48" s="16">
        <f t="shared" si="41"/>
        <v>1.56435686099346</v>
      </c>
      <c r="P48" s="16">
        <f t="shared" si="42"/>
        <v>1.5464342128551</v>
      </c>
      <c r="Q48" s="16"/>
      <c r="R48" s="16"/>
      <c r="S48">
        <f t="shared" si="43"/>
        <v>2.02800407331976</v>
      </c>
      <c r="U48">
        <f t="shared" si="44"/>
        <v>2.15570759482046</v>
      </c>
      <c r="W48">
        <f t="shared" si="45"/>
        <v>0.707052094267233</v>
      </c>
      <c r="Y48">
        <f t="shared" si="46"/>
        <v>0.768119019925275</v>
      </c>
    </row>
    <row r="49" spans="1:26">
      <c r="A49" s="14" t="s">
        <v>402</v>
      </c>
      <c r="B49" s="8">
        <v>1196.5</v>
      </c>
      <c r="C49" s="8">
        <v>1.8979</v>
      </c>
      <c r="D49" s="8">
        <v>2.0095</v>
      </c>
      <c r="E49" s="8">
        <f t="shared" si="30"/>
        <v>1196.5</v>
      </c>
      <c r="F49" s="8">
        <f t="shared" si="31"/>
        <v>1.40447349106181</v>
      </c>
      <c r="G49" s="8">
        <f t="shared" si="32"/>
        <v>1.46190130072653</v>
      </c>
      <c r="H49" s="8">
        <f t="shared" si="33"/>
        <v>4.07614182992284</v>
      </c>
      <c r="I49" s="8">
        <f t="shared" si="34"/>
        <v>4.31547421450935</v>
      </c>
      <c r="J49" s="15" t="s">
        <v>403</v>
      </c>
      <c r="K49" s="16">
        <v>1196.1</v>
      </c>
      <c r="L49" s="16">
        <v>4.2618</v>
      </c>
      <c r="M49" s="16">
        <v>4.1584</v>
      </c>
      <c r="N49" s="16">
        <f t="shared" si="40"/>
        <v>1196.1</v>
      </c>
      <c r="O49" s="16">
        <f t="shared" si="41"/>
        <v>1.44969160624968</v>
      </c>
      <c r="P49" s="16">
        <f t="shared" si="42"/>
        <v>1.42513038490509</v>
      </c>
      <c r="Q49" s="16"/>
      <c r="R49" s="16"/>
      <c r="S49">
        <f t="shared" si="43"/>
        <v>2.24553453817377</v>
      </c>
      <c r="T49">
        <f t="shared" ref="T49:X49" si="47">AVERAGE(S46:S49)</f>
        <v>2.14771159171866</v>
      </c>
      <c r="U49">
        <f t="shared" si="44"/>
        <v>2.06937049017168</v>
      </c>
      <c r="V49">
        <f t="shared" si="47"/>
        <v>2.1475363097832</v>
      </c>
      <c r="W49">
        <f t="shared" si="45"/>
        <v>0.808943594488945</v>
      </c>
      <c r="X49">
        <f t="shared" si="47"/>
        <v>0.763725479301071</v>
      </c>
      <c r="Y49">
        <f t="shared" si="46"/>
        <v>0.72724444999797</v>
      </c>
      <c r="Z49">
        <f>AVERAGE(Y46:Y49)</f>
        <v>0.764015365819409</v>
      </c>
    </row>
    <row r="50" spans="1:26">
      <c r="J50" s="15" t="s">
        <v>404</v>
      </c>
      <c r="K50" s="16">
        <v>1221.1</v>
      </c>
      <c r="L50" s="16">
        <v>3.5325</v>
      </c>
      <c r="M50" s="16">
        <v>3.498</v>
      </c>
      <c r="N50" s="16">
        <f t="shared" si="40"/>
        <v>1221.1</v>
      </c>
      <c r="O50" s="16">
        <f t="shared" si="41"/>
        <v>1.26200583557655</v>
      </c>
      <c r="P50" s="16">
        <f t="shared" si="42"/>
        <v>1.25219137659641</v>
      </c>
      <c r="Q50" s="16"/>
      <c r="R50" s="16"/>
    </row>
    <row r="51" spans="1:26">
      <c r="J51" s="15" t="s">
        <v>405</v>
      </c>
      <c r="K51" s="16">
        <v>1245.3</v>
      </c>
      <c r="L51" s="16">
        <v>2.9554</v>
      </c>
      <c r="M51" s="16">
        <v>3.0548</v>
      </c>
      <c r="N51" s="16">
        <f t="shared" si="40"/>
        <v>1245.3</v>
      </c>
      <c r="O51" s="16">
        <f t="shared" si="41"/>
        <v>1.0836340054874</v>
      </c>
      <c r="P51" s="16">
        <f t="shared" si="42"/>
        <v>1.11671412403209</v>
      </c>
      <c r="Q51" s="16"/>
      <c r="R51" s="16"/>
    </row>
    <row r="52" spans="1:26">
      <c r="J52" s="15" t="s">
        <v>406</v>
      </c>
      <c r="K52" s="16">
        <v>1269.2</v>
      </c>
      <c r="L52" s="16">
        <v>2.5218</v>
      </c>
      <c r="M52" s="16">
        <v>2.3852</v>
      </c>
      <c r="N52" s="16">
        <f t="shared" si="40"/>
        <v>1269.2</v>
      </c>
      <c r="O52" s="16">
        <f t="shared" si="41"/>
        <v>0.924972932256989</v>
      </c>
      <c r="P52" s="16">
        <f t="shared" si="42"/>
        <v>0.869282978266814</v>
      </c>
      <c r="Q52" s="16"/>
      <c r="R52" s="16"/>
    </row>
    <row r="53" spans="1:26">
      <c r="J53" s="15" t="s">
        <v>407</v>
      </c>
      <c r="K53" s="16">
        <v>1293.8</v>
      </c>
      <c r="L53" s="16">
        <v>2.1972</v>
      </c>
      <c r="M53" s="16">
        <v>1.9729</v>
      </c>
      <c r="N53" s="16">
        <f t="shared" si="40"/>
        <v>1293.8</v>
      </c>
      <c r="O53" s="16">
        <f t="shared" si="41"/>
        <v>0.787183822486328</v>
      </c>
      <c r="P53" s="16">
        <f t="shared" si="42"/>
        <v>0.679504541518787</v>
      </c>
      <c r="Q53" s="16"/>
      <c r="R53" s="16"/>
    </row>
    <row r="54" spans="1:26">
      <c r="J54" s="15" t="s">
        <v>408</v>
      </c>
      <c r="K54" s="16">
        <v>1317.2</v>
      </c>
      <c r="L54" s="16">
        <v>1.7496</v>
      </c>
      <c r="M54" s="16">
        <v>1.9445</v>
      </c>
      <c r="N54" s="16">
        <f t="shared" si="40"/>
        <v>1317.2</v>
      </c>
      <c r="O54" s="16">
        <f t="shared" si="41"/>
        <v>0.559387190380421</v>
      </c>
      <c r="P54" s="16">
        <f t="shared" si="42"/>
        <v>0.665004874613665</v>
      </c>
      <c r="Q54" s="16"/>
      <c r="R54" s="16"/>
    </row>
    <row r="55" spans="1:26">
      <c r="J55" s="15" t="s">
        <v>409</v>
      </c>
      <c r="K55" s="16">
        <v>1342.8</v>
      </c>
      <c r="L55" s="16">
        <v>1.4928</v>
      </c>
      <c r="M55" s="16">
        <v>1.6094</v>
      </c>
      <c r="N55" s="16">
        <f t="shared" si="40"/>
        <v>1342.8</v>
      </c>
      <c r="O55" s="16">
        <f t="shared" si="41"/>
        <v>0.400653551110942</v>
      </c>
      <c r="P55" s="16">
        <f t="shared" si="42"/>
        <v>0.475861438729895</v>
      </c>
      <c r="Q55" s="16"/>
      <c r="R55" s="16"/>
    </row>
    <row r="56" spans="1:26">
      <c r="J56" s="15" t="s">
        <v>410</v>
      </c>
      <c r="K56" s="16">
        <v>1366.2</v>
      </c>
      <c r="L56" s="16">
        <v>1.2486</v>
      </c>
      <c r="M56" s="16">
        <v>1.3839</v>
      </c>
      <c r="N56" s="16">
        <f t="shared" si="40"/>
        <v>1366.2</v>
      </c>
      <c r="O56" s="16">
        <f t="shared" si="41"/>
        <v>0.222022923645507</v>
      </c>
      <c r="P56" s="16">
        <f t="shared" si="42"/>
        <v>0.324905600249747</v>
      </c>
      <c r="Q56" s="16"/>
      <c r="R56" s="16"/>
    </row>
    <row r="57" spans="1:26">
      <c r="J57" s="15" t="s">
        <v>411</v>
      </c>
      <c r="K57" s="16">
        <v>1391.3</v>
      </c>
      <c r="L57" s="16">
        <v>1.0294</v>
      </c>
      <c r="M57" s="16">
        <v>1.14</v>
      </c>
      <c r="N57" s="16">
        <f t="shared" si="40"/>
        <v>1391.3</v>
      </c>
      <c r="O57" s="16">
        <f t="shared" si="41"/>
        <v>0.0289761082365172</v>
      </c>
      <c r="P57" s="16">
        <f t="shared" si="42"/>
        <v>0.131028262406404</v>
      </c>
      <c r="Q57" s="16"/>
      <c r="R57" s="16"/>
    </row>
    <row r="58" spans="1:26">
      <c r="J58" s="15" t="s">
        <v>412</v>
      </c>
      <c r="K58" s="16">
        <v>1421.4</v>
      </c>
      <c r="L58" s="16">
        <v>0.8142</v>
      </c>
      <c r="M58" s="16">
        <v>0.9569</v>
      </c>
      <c r="N58" s="16">
        <f t="shared" si="40"/>
        <v>1421.4</v>
      </c>
      <c r="O58" s="16">
        <f t="shared" si="41"/>
        <v>-0.205549242913259</v>
      </c>
      <c r="P58" s="16">
        <f t="shared" si="42"/>
        <v>-0.0440563861969199</v>
      </c>
      <c r="Q58" s="16"/>
      <c r="R58" s="16"/>
    </row>
    <row r="59" spans="1:26">
      <c r="J59" s="15" t="s">
        <v>413</v>
      </c>
      <c r="K59" s="16">
        <v>1433.2</v>
      </c>
      <c r="L59" s="16">
        <v>0.7655</v>
      </c>
      <c r="M59" s="16">
        <v>0.9275</v>
      </c>
      <c r="N59" s="16">
        <f t="shared" si="40"/>
        <v>1433.2</v>
      </c>
      <c r="O59" s="16">
        <f t="shared" si="41"/>
        <v>-0.267226063884399</v>
      </c>
      <c r="P59" s="16">
        <f t="shared" si="42"/>
        <v>-0.0752624845005469</v>
      </c>
      <c r="Q59" s="16"/>
      <c r="R59" s="16"/>
    </row>
    <row r="60" spans="1:26">
      <c r="J60" s="15" t="s">
        <v>414</v>
      </c>
      <c r="K60" s="16">
        <v>1469.6</v>
      </c>
      <c r="L60" s="16">
        <v>0.5556</v>
      </c>
      <c r="M60" s="16">
        <v>0.786</v>
      </c>
      <c r="N60" s="16">
        <f t="shared" si="40"/>
        <v>1469.6</v>
      </c>
      <c r="O60" s="16">
        <f t="shared" si="41"/>
        <v>-0.587706668101948</v>
      </c>
      <c r="P60" s="16">
        <f t="shared" si="42"/>
        <v>-0.24079848655293</v>
      </c>
      <c r="Q60" s="16"/>
      <c r="R60" s="16"/>
    </row>
    <row r="61" spans="1:26">
      <c r="J61" s="15" t="s">
        <v>415</v>
      </c>
      <c r="K61" s="16">
        <v>1488.1</v>
      </c>
      <c r="L61" s="16">
        <v>0.4242</v>
      </c>
      <c r="M61" s="16">
        <v>0.5777</v>
      </c>
      <c r="N61" s="16">
        <f t="shared" si="40"/>
        <v>1488.1</v>
      </c>
      <c r="O61" s="16">
        <f t="shared" si="41"/>
        <v>-0.857550236851555</v>
      </c>
      <c r="P61" s="16">
        <f t="shared" si="42"/>
        <v>-0.548700576194917</v>
      </c>
      <c r="Q61" s="16"/>
      <c r="R61" s="16"/>
    </row>
    <row r="62" spans="1:26">
      <c r="J62" s="15" t="s">
        <v>416</v>
      </c>
      <c r="K62" s="16">
        <v>1518.4</v>
      </c>
      <c r="L62" s="16">
        <v>0.3576</v>
      </c>
      <c r="M62" s="16">
        <v>0.5155</v>
      </c>
      <c r="N62" s="16">
        <f t="shared" si="40"/>
        <v>1518.4</v>
      </c>
      <c r="O62" s="16">
        <f t="shared" si="41"/>
        <v>-1.02834023568278</v>
      </c>
      <c r="P62" s="16">
        <f t="shared" si="42"/>
        <v>-0.662617975525123</v>
      </c>
      <c r="Q62" s="16"/>
      <c r="R62" s="16"/>
    </row>
    <row r="63" spans="1:26">
      <c r="J63" s="15" t="s">
        <v>417</v>
      </c>
      <c r="K63" s="16">
        <v>1529.2</v>
      </c>
      <c r="L63" s="16">
        <v>0.3144</v>
      </c>
      <c r="M63" s="16">
        <v>0.3757</v>
      </c>
      <c r="N63" s="16">
        <f t="shared" si="40"/>
        <v>1529.2</v>
      </c>
      <c r="O63" s="16">
        <f t="shared" si="41"/>
        <v>-1.15708921842709</v>
      </c>
      <c r="P63" s="16">
        <f t="shared" si="42"/>
        <v>-0.978964326402214</v>
      </c>
      <c r="Q63" s="16"/>
      <c r="R63" s="16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workbookViewId="0">
      <selection activeCell="M9" sqref="M9"/>
    </sheetView>
  </sheetViews>
  <sheetFormatPr defaultColWidth="8.88888888888889" defaultRowHeight="14.4"/>
  <cols>
    <col min="1" max="1" width="7.66666666666667" customWidth="1"/>
    <col min="2" max="3" width="15.2222222222222" customWidth="1"/>
    <col min="4" max="4" width="7.66666666666667" customWidth="1"/>
    <col min="5" max="6" width="15.2222222222222" customWidth="1"/>
    <col min="7" max="7" width="7.66666666666667" customWidth="1"/>
    <col min="8" max="9" width="15.2222222222222" customWidth="1"/>
    <col min="10" max="10" width="7.66666666666667" customWidth="1"/>
    <col min="11" max="12" width="15.2222222222222" customWidth="1"/>
  </cols>
  <sheetData>
    <row r="1" spans="1:12">
      <c r="A1" t="s">
        <v>333</v>
      </c>
      <c r="B1" t="s">
        <v>422</v>
      </c>
      <c r="C1" t="s">
        <v>422</v>
      </c>
      <c r="D1" t="s">
        <v>333</v>
      </c>
      <c r="E1" t="s">
        <v>422</v>
      </c>
      <c r="F1" t="s">
        <v>422</v>
      </c>
      <c r="G1" t="s">
        <v>333</v>
      </c>
      <c r="H1" t="s">
        <v>422</v>
      </c>
      <c r="I1" t="s">
        <v>422</v>
      </c>
      <c r="J1" t="s">
        <v>333</v>
      </c>
      <c r="K1" t="s">
        <v>422</v>
      </c>
      <c r="L1" t="s">
        <v>422</v>
      </c>
    </row>
    <row r="2" spans="1:12">
      <c r="A2" t="s">
        <v>423</v>
      </c>
      <c r="D2" t="s">
        <v>423</v>
      </c>
      <c r="G2" t="s">
        <v>423</v>
      </c>
      <c r="J2" t="s">
        <v>423</v>
      </c>
    </row>
    <row r="3" spans="1:12">
      <c r="B3" t="s">
        <v>424</v>
      </c>
      <c r="C3" t="s">
        <v>425</v>
      </c>
      <c r="E3" t="s">
        <v>426</v>
      </c>
      <c r="F3" t="s">
        <v>427</v>
      </c>
      <c r="H3" t="s">
        <v>428</v>
      </c>
      <c r="I3" t="s">
        <v>429</v>
      </c>
      <c r="K3" t="s">
        <v>430</v>
      </c>
      <c r="L3" t="s">
        <v>431</v>
      </c>
    </row>
    <row r="4" spans="1:12">
      <c r="A4">
        <v>54.6</v>
      </c>
      <c r="B4">
        <v>8.83141</v>
      </c>
      <c r="C4">
        <v>8.66608</v>
      </c>
      <c r="D4">
        <v>55.7</v>
      </c>
      <c r="E4">
        <v>8.84359</v>
      </c>
      <c r="F4">
        <v>8.65098</v>
      </c>
      <c r="G4">
        <v>56.2</v>
      </c>
      <c r="H4">
        <v>8.86022</v>
      </c>
      <c r="I4">
        <v>8.75171</v>
      </c>
      <c r="J4">
        <v>56</v>
      </c>
      <c r="K4">
        <v>8.88157</v>
      </c>
      <c r="L4">
        <v>8.72049</v>
      </c>
    </row>
    <row r="5" spans="1:12">
      <c r="A5">
        <v>90.8</v>
      </c>
      <c r="B5">
        <v>8.57316</v>
      </c>
      <c r="C5">
        <v>8.44659</v>
      </c>
      <c r="D5">
        <v>91</v>
      </c>
      <c r="E5">
        <v>8.58467</v>
      </c>
      <c r="F5">
        <v>8.49665</v>
      </c>
      <c r="G5">
        <v>91.3</v>
      </c>
      <c r="H5">
        <v>8.60363</v>
      </c>
      <c r="I5">
        <v>8.55152</v>
      </c>
      <c r="J5">
        <v>91.7</v>
      </c>
      <c r="K5">
        <v>8.63181</v>
      </c>
      <c r="L5">
        <v>8.47175</v>
      </c>
    </row>
    <row r="6" spans="1:12">
      <c r="A6">
        <v>114.3</v>
      </c>
      <c r="B6">
        <v>8.43895</v>
      </c>
      <c r="C6">
        <v>8.29986</v>
      </c>
      <c r="D6">
        <v>114.5</v>
      </c>
      <c r="E6">
        <v>8.43266</v>
      </c>
      <c r="F6">
        <v>8.32132</v>
      </c>
      <c r="G6">
        <v>114.8</v>
      </c>
      <c r="H6">
        <v>8.4637</v>
      </c>
      <c r="I6">
        <v>8.42751</v>
      </c>
      <c r="J6">
        <v>115</v>
      </c>
      <c r="K6">
        <v>8.52418</v>
      </c>
      <c r="L6">
        <v>8.36646</v>
      </c>
    </row>
    <row r="7" spans="1:12">
      <c r="A7">
        <v>138.2</v>
      </c>
      <c r="B7">
        <v>8.27506</v>
      </c>
      <c r="C7">
        <v>8.16134</v>
      </c>
      <c r="D7">
        <v>138.5</v>
      </c>
      <c r="E7">
        <v>8.29792</v>
      </c>
      <c r="F7">
        <v>8.11979</v>
      </c>
      <c r="G7">
        <v>138.7</v>
      </c>
      <c r="H7">
        <v>8.31076</v>
      </c>
      <c r="I7">
        <v>8.29847</v>
      </c>
      <c r="J7">
        <v>138.9</v>
      </c>
      <c r="K7">
        <v>8.3586</v>
      </c>
      <c r="L7">
        <v>8.15262</v>
      </c>
    </row>
    <row r="8" spans="1:12">
      <c r="A8">
        <v>162.2</v>
      </c>
      <c r="B8">
        <v>8.09565</v>
      </c>
      <c r="C8">
        <v>8.01203</v>
      </c>
      <c r="D8">
        <v>162.5</v>
      </c>
      <c r="E8">
        <v>8.14098</v>
      </c>
      <c r="F8">
        <v>8.05361</v>
      </c>
      <c r="G8">
        <v>162.9</v>
      </c>
      <c r="H8">
        <v>8.12892</v>
      </c>
      <c r="I8">
        <v>8.15396</v>
      </c>
      <c r="J8">
        <v>162.7</v>
      </c>
      <c r="K8">
        <v>8.17951</v>
      </c>
      <c r="L8">
        <v>8.01853</v>
      </c>
    </row>
    <row r="9" spans="1:12">
      <c r="A9">
        <v>186.2</v>
      </c>
      <c r="B9">
        <v>7.96493</v>
      </c>
      <c r="C9">
        <v>7.85396</v>
      </c>
      <c r="D9">
        <v>186.5</v>
      </c>
      <c r="E9">
        <v>8.01595</v>
      </c>
      <c r="F9">
        <v>7.86701</v>
      </c>
      <c r="G9">
        <v>186.7</v>
      </c>
      <c r="H9">
        <v>8.03401</v>
      </c>
      <c r="I9">
        <v>7.90449</v>
      </c>
      <c r="J9">
        <v>186.9</v>
      </c>
      <c r="K9">
        <v>8.06466</v>
      </c>
      <c r="L9">
        <v>7.9274</v>
      </c>
    </row>
    <row r="10" spans="1:12">
      <c r="A10">
        <v>210.4</v>
      </c>
      <c r="B10">
        <v>7.83433</v>
      </c>
      <c r="C10">
        <v>7.61209</v>
      </c>
      <c r="D10">
        <v>210.8</v>
      </c>
      <c r="E10">
        <v>7.83142</v>
      </c>
      <c r="F10">
        <v>7.64224</v>
      </c>
      <c r="G10">
        <v>211.2</v>
      </c>
      <c r="H10">
        <v>7.84081</v>
      </c>
      <c r="I10">
        <v>7.80141</v>
      </c>
      <c r="J10">
        <v>211.6</v>
      </c>
      <c r="K10">
        <v>7.89211</v>
      </c>
      <c r="L10">
        <v>7.80682</v>
      </c>
    </row>
    <row r="11" spans="1:12">
      <c r="A11">
        <v>234.7</v>
      </c>
      <c r="B11">
        <v>7.67252</v>
      </c>
      <c r="C11">
        <v>7.5324</v>
      </c>
      <c r="D11">
        <v>235.2</v>
      </c>
      <c r="E11">
        <v>7.67613</v>
      </c>
      <c r="F11">
        <v>7.50428</v>
      </c>
      <c r="G11">
        <v>235.7</v>
      </c>
      <c r="H11">
        <v>7.66441</v>
      </c>
      <c r="I11">
        <v>7.6506</v>
      </c>
      <c r="J11">
        <v>236.1</v>
      </c>
      <c r="K11">
        <v>7.70303</v>
      </c>
      <c r="L11">
        <v>7.59788</v>
      </c>
    </row>
    <row r="12" spans="1:12">
      <c r="A12">
        <v>258.9</v>
      </c>
      <c r="B12">
        <v>7.51231</v>
      </c>
      <c r="C12">
        <v>7.39512</v>
      </c>
      <c r="D12">
        <v>259.6</v>
      </c>
      <c r="E12">
        <v>7.51147</v>
      </c>
      <c r="F12">
        <v>7.40783</v>
      </c>
      <c r="G12">
        <v>260.1</v>
      </c>
      <c r="H12">
        <v>7.51168</v>
      </c>
      <c r="I12">
        <v>7.46519</v>
      </c>
      <c r="J12">
        <v>260.7</v>
      </c>
      <c r="K12">
        <v>7.55785</v>
      </c>
      <c r="L12">
        <v>7.38563</v>
      </c>
    </row>
    <row r="13" spans="1:12">
      <c r="A13">
        <v>283</v>
      </c>
      <c r="B13">
        <v>7.35024</v>
      </c>
      <c r="C13">
        <v>7.20971</v>
      </c>
      <c r="D13">
        <v>283.6</v>
      </c>
      <c r="E13">
        <v>7.38143</v>
      </c>
      <c r="F13">
        <v>7.16012</v>
      </c>
      <c r="G13">
        <v>284.3</v>
      </c>
      <c r="H13">
        <v>7.32384</v>
      </c>
      <c r="I13">
        <v>7.3227</v>
      </c>
      <c r="J13">
        <v>284.9</v>
      </c>
      <c r="K13">
        <v>7.42236</v>
      </c>
      <c r="L13">
        <v>7.24852</v>
      </c>
    </row>
    <row r="14" spans="1:12">
      <c r="A14">
        <v>307.1</v>
      </c>
      <c r="B14">
        <v>7.1853</v>
      </c>
      <c r="C14">
        <v>7.05707</v>
      </c>
      <c r="D14">
        <v>307.6</v>
      </c>
      <c r="E14">
        <v>7.21187</v>
      </c>
      <c r="F14">
        <v>7.08723</v>
      </c>
      <c r="G14">
        <v>308.1</v>
      </c>
      <c r="H14">
        <v>7.20032</v>
      </c>
      <c r="I14">
        <v>7.12757</v>
      </c>
      <c r="J14">
        <v>308.7</v>
      </c>
      <c r="K14">
        <v>7.24639</v>
      </c>
      <c r="L14">
        <v>7.06866</v>
      </c>
    </row>
    <row r="15" spans="1:12">
      <c r="A15">
        <v>332.6</v>
      </c>
      <c r="B15">
        <v>7.01605</v>
      </c>
      <c r="C15">
        <v>6.83671</v>
      </c>
      <c r="D15">
        <v>332.1</v>
      </c>
      <c r="E15">
        <v>7.03508</v>
      </c>
      <c r="F15">
        <v>6.95059</v>
      </c>
      <c r="G15">
        <v>331.8</v>
      </c>
      <c r="H15">
        <v>7.0438</v>
      </c>
      <c r="I15">
        <v>6.99263</v>
      </c>
      <c r="J15">
        <v>331.3</v>
      </c>
      <c r="K15">
        <v>7.13216</v>
      </c>
      <c r="L15">
        <v>6.98338</v>
      </c>
    </row>
    <row r="16" spans="1:12">
      <c r="A16">
        <v>354.6</v>
      </c>
      <c r="B16">
        <v>6.87639</v>
      </c>
      <c r="C16">
        <v>6.73101</v>
      </c>
      <c r="D16">
        <v>355.1</v>
      </c>
      <c r="E16">
        <v>6.91382</v>
      </c>
      <c r="F16">
        <v>6.7615</v>
      </c>
      <c r="G16">
        <v>355.6</v>
      </c>
      <c r="H16">
        <v>6.90864</v>
      </c>
      <c r="I16">
        <v>6.84302</v>
      </c>
      <c r="J16">
        <v>356.2</v>
      </c>
      <c r="K16">
        <v>6.95417</v>
      </c>
      <c r="L16">
        <v>6.84583</v>
      </c>
    </row>
    <row r="17" spans="1:12">
      <c r="A17">
        <v>309.5</v>
      </c>
      <c r="B17">
        <v>7.16446</v>
      </c>
      <c r="C17">
        <v>7.06006</v>
      </c>
      <c r="D17">
        <v>309.3</v>
      </c>
      <c r="E17">
        <v>7.19623</v>
      </c>
      <c r="F17">
        <v>7.10618</v>
      </c>
      <c r="G17">
        <v>453.3</v>
      </c>
      <c r="H17">
        <v>6.29208</v>
      </c>
      <c r="I17">
        <v>6.24295</v>
      </c>
      <c r="J17">
        <v>452.1</v>
      </c>
      <c r="K17">
        <v>6.31356</v>
      </c>
      <c r="L17">
        <v>6.21115</v>
      </c>
    </row>
    <row r="18" spans="1:12">
      <c r="A18">
        <v>330.5</v>
      </c>
      <c r="B18">
        <v>7.04412</v>
      </c>
      <c r="C18">
        <v>6.87435</v>
      </c>
      <c r="D18">
        <v>330.3</v>
      </c>
      <c r="E18">
        <v>7.08094</v>
      </c>
      <c r="F18">
        <v>6.93628</v>
      </c>
      <c r="G18">
        <v>477.5</v>
      </c>
      <c r="H18">
        <v>6.12108</v>
      </c>
      <c r="I18">
        <v>6.07243</v>
      </c>
      <c r="J18">
        <v>476.6</v>
      </c>
      <c r="K18">
        <v>6.19633</v>
      </c>
      <c r="L18">
        <v>6.03995</v>
      </c>
    </row>
    <row r="19" spans="1:12">
      <c r="A19">
        <v>356.8</v>
      </c>
      <c r="B19">
        <v>6.86917</v>
      </c>
      <c r="C19">
        <v>6.69039</v>
      </c>
      <c r="D19">
        <v>356.7</v>
      </c>
      <c r="E19">
        <v>6.88361</v>
      </c>
      <c r="F19">
        <v>6.75685</v>
      </c>
      <c r="G19">
        <v>501.6</v>
      </c>
      <c r="H19">
        <v>5.94453</v>
      </c>
      <c r="I19">
        <v>5.91407</v>
      </c>
      <c r="J19">
        <v>500.4</v>
      </c>
      <c r="K19">
        <v>6.02987</v>
      </c>
      <c r="L19">
        <v>5.94099</v>
      </c>
    </row>
    <row r="20" spans="1:12">
      <c r="A20">
        <v>378.2</v>
      </c>
      <c r="B20">
        <v>6.71675</v>
      </c>
      <c r="C20">
        <v>6.56836</v>
      </c>
      <c r="D20">
        <v>378.4</v>
      </c>
      <c r="E20">
        <v>6.78241</v>
      </c>
      <c r="F20">
        <v>6.68736</v>
      </c>
      <c r="G20">
        <v>309.2</v>
      </c>
      <c r="H20">
        <v>7.21278</v>
      </c>
      <c r="I20">
        <v>7.14342</v>
      </c>
      <c r="J20">
        <v>309</v>
      </c>
      <c r="K20">
        <v>7.2363</v>
      </c>
      <c r="L20">
        <v>7.10219</v>
      </c>
    </row>
    <row r="21" spans="1:12">
      <c r="A21">
        <v>402.3</v>
      </c>
      <c r="B21">
        <v>6.54157</v>
      </c>
      <c r="C21">
        <v>6.40913</v>
      </c>
      <c r="D21">
        <v>402.5</v>
      </c>
      <c r="E21">
        <v>6.63177</v>
      </c>
      <c r="F21">
        <v>6.49077</v>
      </c>
      <c r="G21">
        <v>330.6</v>
      </c>
      <c r="H21">
        <v>7.04541</v>
      </c>
      <c r="I21">
        <v>7.0188</v>
      </c>
      <c r="J21">
        <v>330.7</v>
      </c>
      <c r="K21">
        <v>7.12879</v>
      </c>
      <c r="L21">
        <v>6.98966</v>
      </c>
    </row>
    <row r="22" spans="1:12">
      <c r="A22">
        <v>426.3</v>
      </c>
      <c r="B22">
        <v>6.41166</v>
      </c>
      <c r="C22">
        <v>6.24975</v>
      </c>
      <c r="D22">
        <v>426.5</v>
      </c>
      <c r="E22">
        <v>6.4478</v>
      </c>
      <c r="F22">
        <v>6.36309</v>
      </c>
      <c r="G22">
        <v>356.5</v>
      </c>
      <c r="H22">
        <v>6.89458</v>
      </c>
      <c r="I22">
        <v>6.80101</v>
      </c>
      <c r="J22">
        <v>356.4</v>
      </c>
      <c r="K22">
        <v>6.96763</v>
      </c>
      <c r="L22">
        <v>6.80602</v>
      </c>
    </row>
    <row r="23" spans="1:12">
      <c r="A23">
        <v>450.3</v>
      </c>
      <c r="B23">
        <v>6.2592</v>
      </c>
      <c r="C23">
        <v>6.11005</v>
      </c>
      <c r="D23">
        <v>450.6</v>
      </c>
      <c r="E23">
        <v>6.2993</v>
      </c>
      <c r="F23">
        <v>6.18025</v>
      </c>
      <c r="G23">
        <v>378.6</v>
      </c>
      <c r="H23">
        <v>6.74382</v>
      </c>
      <c r="I23">
        <v>6.69126</v>
      </c>
      <c r="J23">
        <v>378.8</v>
      </c>
      <c r="K23">
        <v>6.79547</v>
      </c>
      <c r="L23">
        <v>6.66155</v>
      </c>
    </row>
    <row r="24" spans="1:12">
      <c r="A24">
        <v>474.9</v>
      </c>
      <c r="B24">
        <v>6.09135</v>
      </c>
      <c r="C24">
        <v>5.94138</v>
      </c>
      <c r="D24">
        <v>475.2</v>
      </c>
      <c r="E24">
        <v>6.15064</v>
      </c>
      <c r="F24">
        <v>6.00228</v>
      </c>
      <c r="G24">
        <v>426.7</v>
      </c>
      <c r="H24">
        <v>6.44384</v>
      </c>
      <c r="I24">
        <v>6.36828</v>
      </c>
      <c r="J24">
        <v>402.8</v>
      </c>
      <c r="K24">
        <v>6.64104</v>
      </c>
      <c r="L24">
        <v>6.4754</v>
      </c>
    </row>
    <row r="25" spans="1:12">
      <c r="A25">
        <v>498.3</v>
      </c>
      <c r="B25">
        <v>5.95799</v>
      </c>
      <c r="C25">
        <v>5.79568</v>
      </c>
      <c r="D25">
        <v>498.7</v>
      </c>
      <c r="E25">
        <v>5.97471</v>
      </c>
      <c r="F25">
        <v>5.84477</v>
      </c>
      <c r="G25">
        <v>426.5</v>
      </c>
      <c r="H25">
        <v>6.42468</v>
      </c>
      <c r="I25">
        <v>6.38254</v>
      </c>
      <c r="J25">
        <v>426.9</v>
      </c>
      <c r="K25">
        <v>6.49344</v>
      </c>
      <c r="L25">
        <v>6.33932</v>
      </c>
    </row>
    <row r="26" spans="1:12">
      <c r="A26">
        <v>522.4</v>
      </c>
      <c r="B26">
        <v>5.78257</v>
      </c>
      <c r="C26">
        <v>5.64244</v>
      </c>
      <c r="D26">
        <v>522.8</v>
      </c>
      <c r="E26">
        <v>5.81958</v>
      </c>
      <c r="F26">
        <v>5.70912</v>
      </c>
      <c r="G26">
        <v>450.8</v>
      </c>
      <c r="H26">
        <v>6.2946</v>
      </c>
      <c r="I26">
        <v>6.2119</v>
      </c>
      <c r="J26">
        <v>451</v>
      </c>
      <c r="K26">
        <v>6.33795</v>
      </c>
      <c r="L26">
        <v>6.18377</v>
      </c>
    </row>
    <row r="27" spans="1:12">
      <c r="A27">
        <v>546.4</v>
      </c>
      <c r="B27">
        <v>5.6176</v>
      </c>
      <c r="C27">
        <v>5.46705</v>
      </c>
      <c r="D27">
        <v>546.9</v>
      </c>
      <c r="E27">
        <v>5.67667</v>
      </c>
      <c r="F27">
        <v>5.55621</v>
      </c>
      <c r="G27">
        <v>475.4</v>
      </c>
      <c r="H27">
        <v>6.14091</v>
      </c>
      <c r="I27">
        <v>6.0223</v>
      </c>
      <c r="J27">
        <v>475.7</v>
      </c>
      <c r="K27">
        <v>6.19198</v>
      </c>
      <c r="L27">
        <v>6.03063</v>
      </c>
    </row>
    <row r="28" spans="1:12">
      <c r="A28">
        <v>571.3</v>
      </c>
      <c r="B28">
        <v>5.45299</v>
      </c>
      <c r="C28">
        <v>5.34876</v>
      </c>
      <c r="D28">
        <v>571.9</v>
      </c>
      <c r="E28">
        <v>5.48991</v>
      </c>
      <c r="F28">
        <v>5.37684</v>
      </c>
      <c r="G28">
        <v>499</v>
      </c>
      <c r="H28">
        <v>5.99007</v>
      </c>
      <c r="I28">
        <v>5.94757</v>
      </c>
      <c r="J28">
        <v>499.3</v>
      </c>
      <c r="K28">
        <v>6.06435</v>
      </c>
      <c r="L28">
        <v>5.86174</v>
      </c>
    </row>
    <row r="29" spans="1:12">
      <c r="A29">
        <v>594.6</v>
      </c>
      <c r="B29">
        <v>5.31488</v>
      </c>
      <c r="C29">
        <v>5.12792</v>
      </c>
      <c r="D29">
        <v>595.2</v>
      </c>
      <c r="E29">
        <v>5.3603</v>
      </c>
      <c r="F29">
        <v>5.25704</v>
      </c>
      <c r="G29">
        <v>523.1</v>
      </c>
      <c r="H29">
        <v>5.81086</v>
      </c>
      <c r="I29">
        <v>5.72661</v>
      </c>
      <c r="J29">
        <v>523.5</v>
      </c>
      <c r="K29">
        <v>5.85037</v>
      </c>
      <c r="L29">
        <v>5.69663</v>
      </c>
    </row>
    <row r="30" spans="1:12">
      <c r="A30">
        <v>620.9</v>
      </c>
      <c r="B30">
        <v>5.15203</v>
      </c>
      <c r="C30">
        <v>5.0039</v>
      </c>
      <c r="D30">
        <v>619.8</v>
      </c>
      <c r="E30">
        <v>5.20223</v>
      </c>
      <c r="F30">
        <v>5.09576</v>
      </c>
      <c r="G30">
        <v>547.3</v>
      </c>
      <c r="H30">
        <v>5.66493</v>
      </c>
      <c r="I30">
        <v>5.57218</v>
      </c>
      <c r="J30">
        <v>547.8</v>
      </c>
      <c r="K30">
        <v>5.72758</v>
      </c>
      <c r="L30">
        <v>5.56796</v>
      </c>
    </row>
    <row r="31" spans="1:12">
      <c r="A31">
        <v>647.5</v>
      </c>
      <c r="B31">
        <v>4.94652</v>
      </c>
      <c r="C31">
        <v>4.85951</v>
      </c>
      <c r="D31">
        <v>647</v>
      </c>
      <c r="E31">
        <v>5.00013</v>
      </c>
      <c r="F31">
        <v>4.95926</v>
      </c>
      <c r="G31">
        <v>572.4</v>
      </c>
      <c r="H31">
        <v>5.48431</v>
      </c>
      <c r="I31">
        <v>5.41274</v>
      </c>
      <c r="J31">
        <v>572.8</v>
      </c>
      <c r="K31">
        <v>5.54625</v>
      </c>
      <c r="L31">
        <v>5.39629</v>
      </c>
    </row>
    <row r="32" spans="1:12">
      <c r="A32">
        <v>669.5</v>
      </c>
      <c r="B32">
        <v>4.79921</v>
      </c>
      <c r="C32">
        <v>4.71777</v>
      </c>
      <c r="D32">
        <v>668.6</v>
      </c>
      <c r="E32">
        <v>4.84674</v>
      </c>
      <c r="F32">
        <v>4.77628</v>
      </c>
      <c r="G32">
        <v>595.7</v>
      </c>
      <c r="H32">
        <v>5.35139</v>
      </c>
      <c r="I32">
        <v>5.25559</v>
      </c>
      <c r="J32">
        <v>596.2</v>
      </c>
      <c r="K32">
        <v>5.39217</v>
      </c>
      <c r="L32">
        <v>5.24981</v>
      </c>
    </row>
    <row r="33" spans="1:12">
      <c r="A33">
        <v>690.8</v>
      </c>
      <c r="B33">
        <v>4.57959</v>
      </c>
      <c r="C33">
        <v>4.55094</v>
      </c>
      <c r="D33">
        <v>691.3</v>
      </c>
      <c r="E33">
        <v>4.6778</v>
      </c>
      <c r="F33">
        <v>4.6216</v>
      </c>
      <c r="G33">
        <v>620.4</v>
      </c>
      <c r="H33">
        <v>5.18053</v>
      </c>
      <c r="I33">
        <v>5.09878</v>
      </c>
      <c r="J33">
        <v>621.6</v>
      </c>
      <c r="K33">
        <v>5.25218</v>
      </c>
      <c r="L33">
        <v>5.07202</v>
      </c>
    </row>
    <row r="34" spans="1:12">
      <c r="A34">
        <v>716.7</v>
      </c>
      <c r="B34">
        <v>4.53826</v>
      </c>
      <c r="C34">
        <v>4.35456</v>
      </c>
      <c r="D34">
        <v>716.2</v>
      </c>
      <c r="E34">
        <v>4.57912</v>
      </c>
      <c r="F34">
        <v>4.53668</v>
      </c>
      <c r="G34">
        <v>646.6</v>
      </c>
      <c r="H34">
        <v>4.99713</v>
      </c>
      <c r="I34">
        <v>4.94847</v>
      </c>
      <c r="J34">
        <v>646.3</v>
      </c>
      <c r="K34">
        <v>5.03013</v>
      </c>
      <c r="L34">
        <v>4.96053</v>
      </c>
    </row>
    <row r="35" spans="1:12">
      <c r="A35">
        <v>598.3</v>
      </c>
      <c r="B35">
        <v>5.28537</v>
      </c>
      <c r="C35">
        <v>5.13643</v>
      </c>
      <c r="D35">
        <v>598.4</v>
      </c>
      <c r="E35">
        <v>5.33395</v>
      </c>
      <c r="F35">
        <v>5.23926</v>
      </c>
      <c r="G35">
        <v>668.1</v>
      </c>
      <c r="H35">
        <v>4.83514</v>
      </c>
      <c r="I35">
        <v>4.81558</v>
      </c>
      <c r="J35">
        <v>667.5</v>
      </c>
      <c r="K35">
        <v>4.90703</v>
      </c>
      <c r="L35">
        <v>4.82223</v>
      </c>
    </row>
    <row r="36" spans="1:12">
      <c r="A36">
        <v>619.2</v>
      </c>
      <c r="B36">
        <v>5.16056</v>
      </c>
      <c r="C36">
        <v>5.01935</v>
      </c>
      <c r="D36">
        <v>619.3</v>
      </c>
      <c r="E36">
        <v>5.20734</v>
      </c>
      <c r="F36">
        <v>5.10121</v>
      </c>
      <c r="G36">
        <v>691.9</v>
      </c>
      <c r="H36">
        <v>4.67369</v>
      </c>
      <c r="I36">
        <v>4.6392</v>
      </c>
      <c r="J36">
        <v>692.5</v>
      </c>
      <c r="K36">
        <v>4.78791</v>
      </c>
      <c r="L36">
        <v>4.65399</v>
      </c>
    </row>
    <row r="37" spans="1:12">
      <c r="A37">
        <v>645.2</v>
      </c>
      <c r="B37">
        <v>4.95649</v>
      </c>
      <c r="C37">
        <v>4.85538</v>
      </c>
      <c r="D37">
        <v>645.4</v>
      </c>
      <c r="E37">
        <v>4.99858</v>
      </c>
      <c r="F37">
        <v>4.94266</v>
      </c>
      <c r="G37">
        <v>715.7</v>
      </c>
      <c r="H37">
        <v>4.56371</v>
      </c>
      <c r="I37">
        <v>4.56408</v>
      </c>
      <c r="J37">
        <v>715.2</v>
      </c>
      <c r="K37">
        <v>4.58482</v>
      </c>
      <c r="L37">
        <v>4.47292</v>
      </c>
    </row>
    <row r="38" spans="1:12">
      <c r="A38">
        <v>666.6</v>
      </c>
      <c r="B38">
        <v>4.78681</v>
      </c>
      <c r="C38">
        <v>4.69703</v>
      </c>
      <c r="D38">
        <v>666.8</v>
      </c>
      <c r="E38">
        <v>4.83437</v>
      </c>
      <c r="F38">
        <v>4.83421</v>
      </c>
      <c r="G38">
        <v>598.4</v>
      </c>
      <c r="H38">
        <v>5.33768</v>
      </c>
      <c r="I38">
        <v>5.26252</v>
      </c>
      <c r="J38">
        <v>598.5</v>
      </c>
      <c r="K38">
        <v>5.36888</v>
      </c>
      <c r="L38">
        <v>5.24961</v>
      </c>
    </row>
    <row r="39" spans="1:12">
      <c r="A39">
        <v>693.3</v>
      </c>
      <c r="B39">
        <v>4.63927</v>
      </c>
      <c r="C39">
        <v>4.54821</v>
      </c>
      <c r="D39">
        <v>693.1</v>
      </c>
      <c r="E39">
        <v>4.7092</v>
      </c>
      <c r="F39">
        <v>4.63357</v>
      </c>
      <c r="G39">
        <v>619</v>
      </c>
      <c r="H39">
        <v>5.18993</v>
      </c>
      <c r="I39">
        <v>5.12078</v>
      </c>
      <c r="J39">
        <v>619.1</v>
      </c>
      <c r="K39">
        <v>5.27047</v>
      </c>
      <c r="L39">
        <v>5.10595</v>
      </c>
    </row>
    <row r="40" spans="1:12">
      <c r="A40">
        <v>714.2</v>
      </c>
      <c r="B40">
        <v>4.502</v>
      </c>
      <c r="C40">
        <v>4.35818</v>
      </c>
      <c r="D40">
        <v>714.3</v>
      </c>
      <c r="E40">
        <v>4.58288</v>
      </c>
      <c r="F40">
        <v>4.49571</v>
      </c>
      <c r="G40">
        <v>645.6</v>
      </c>
      <c r="H40">
        <v>4.99696</v>
      </c>
      <c r="I40">
        <v>4.94804</v>
      </c>
      <c r="J40">
        <v>645.7</v>
      </c>
      <c r="K40">
        <v>5.06382</v>
      </c>
      <c r="L40">
        <v>4.93615</v>
      </c>
    </row>
    <row r="41" spans="1:12">
      <c r="A41">
        <v>740.4</v>
      </c>
      <c r="B41">
        <v>4.30341</v>
      </c>
      <c r="C41">
        <v>4.23526</v>
      </c>
      <c r="D41">
        <v>740.6</v>
      </c>
      <c r="E41">
        <v>4.36377</v>
      </c>
      <c r="F41">
        <v>4.34901</v>
      </c>
      <c r="G41">
        <v>666.4</v>
      </c>
      <c r="H41">
        <v>4.83865</v>
      </c>
      <c r="I41">
        <v>4.81838</v>
      </c>
      <c r="J41">
        <v>666.9</v>
      </c>
      <c r="K41">
        <v>4.89228</v>
      </c>
      <c r="L41">
        <v>4.81308</v>
      </c>
    </row>
    <row r="42" spans="1:12">
      <c r="A42">
        <v>762.5</v>
      </c>
      <c r="B42">
        <v>4.15259</v>
      </c>
      <c r="C42">
        <v>4.07171</v>
      </c>
      <c r="D42">
        <v>762.7</v>
      </c>
      <c r="E42">
        <v>4.1669</v>
      </c>
      <c r="F42">
        <v>4.20634</v>
      </c>
      <c r="G42">
        <v>692.9</v>
      </c>
      <c r="H42">
        <v>4.6766</v>
      </c>
      <c r="I42">
        <v>4.66271</v>
      </c>
      <c r="J42">
        <v>692.7</v>
      </c>
      <c r="K42">
        <v>4.75183</v>
      </c>
      <c r="L42">
        <v>4.63218</v>
      </c>
    </row>
    <row r="43" spans="1:12">
      <c r="A43">
        <v>786.4</v>
      </c>
      <c r="B43">
        <v>3.98702</v>
      </c>
      <c r="C43">
        <v>3.92156</v>
      </c>
      <c r="D43">
        <v>786.5</v>
      </c>
      <c r="E43">
        <v>4.00946</v>
      </c>
      <c r="F43">
        <v>4.05395</v>
      </c>
      <c r="G43">
        <v>714.5</v>
      </c>
      <c r="H43">
        <v>4.56176</v>
      </c>
      <c r="I43">
        <v>4.50927</v>
      </c>
      <c r="J43">
        <v>714.6</v>
      </c>
      <c r="K43">
        <v>4.60696</v>
      </c>
      <c r="L43">
        <v>4.49451</v>
      </c>
    </row>
    <row r="44" spans="1:12">
      <c r="A44">
        <v>811</v>
      </c>
      <c r="B44">
        <v>3.85772</v>
      </c>
      <c r="C44">
        <v>3.80629</v>
      </c>
      <c r="D44">
        <v>811.2</v>
      </c>
      <c r="E44">
        <v>3.90925</v>
      </c>
      <c r="F44">
        <v>3.90508</v>
      </c>
      <c r="G44">
        <v>740.8</v>
      </c>
      <c r="H44">
        <v>4.35742</v>
      </c>
      <c r="I44">
        <v>4.33958</v>
      </c>
      <c r="J44">
        <v>741</v>
      </c>
      <c r="K44">
        <v>4.40266</v>
      </c>
      <c r="L44">
        <v>4.33675</v>
      </c>
    </row>
    <row r="45" spans="1:12">
      <c r="A45">
        <v>834.2</v>
      </c>
      <c r="B45">
        <v>3.75705</v>
      </c>
      <c r="C45">
        <v>3.61327</v>
      </c>
      <c r="D45">
        <v>834.3</v>
      </c>
      <c r="E45">
        <v>3.79693</v>
      </c>
      <c r="F45">
        <v>3.69277</v>
      </c>
      <c r="G45">
        <v>762.9</v>
      </c>
      <c r="H45">
        <v>4.13377</v>
      </c>
      <c r="I45">
        <v>4.21808</v>
      </c>
      <c r="J45">
        <v>763</v>
      </c>
      <c r="K45">
        <v>4.19524</v>
      </c>
      <c r="L45">
        <v>4.17728</v>
      </c>
    </row>
    <row r="46" spans="1:12">
      <c r="A46">
        <v>858.4</v>
      </c>
      <c r="B46">
        <v>3.60148</v>
      </c>
      <c r="C46">
        <v>3.44865</v>
      </c>
      <c r="D46">
        <v>858.5</v>
      </c>
      <c r="E46">
        <v>3.63469</v>
      </c>
      <c r="F46">
        <v>3.5619</v>
      </c>
      <c r="G46">
        <v>786.7</v>
      </c>
      <c r="H46">
        <v>4.04139</v>
      </c>
      <c r="I46">
        <v>4.01884</v>
      </c>
      <c r="J46">
        <v>786.8</v>
      </c>
      <c r="K46">
        <v>4.09086</v>
      </c>
      <c r="L46">
        <v>4.03927</v>
      </c>
    </row>
    <row r="47" spans="1:12">
      <c r="A47">
        <v>884.2</v>
      </c>
      <c r="B47">
        <v>3.36338</v>
      </c>
      <c r="C47">
        <v>3.31176</v>
      </c>
      <c r="D47">
        <v>884.4</v>
      </c>
      <c r="E47">
        <v>3.44254</v>
      </c>
      <c r="F47">
        <v>3.36691</v>
      </c>
      <c r="G47">
        <v>811.4</v>
      </c>
      <c r="H47">
        <v>3.88847</v>
      </c>
      <c r="I47">
        <v>3.87438</v>
      </c>
      <c r="J47">
        <v>811.6</v>
      </c>
      <c r="K47">
        <v>3.98801</v>
      </c>
      <c r="L47">
        <v>3.87751</v>
      </c>
    </row>
    <row r="48" spans="1:12">
      <c r="A48">
        <v>910.3</v>
      </c>
      <c r="B48">
        <v>3.20265</v>
      </c>
      <c r="C48">
        <v>3.12656</v>
      </c>
      <c r="D48">
        <v>910.6</v>
      </c>
      <c r="E48">
        <v>3.31343</v>
      </c>
      <c r="F48">
        <v>3.25706</v>
      </c>
      <c r="G48">
        <v>834.5</v>
      </c>
      <c r="H48">
        <v>3.77876</v>
      </c>
      <c r="I48">
        <v>3.75936</v>
      </c>
      <c r="J48">
        <v>834.7</v>
      </c>
      <c r="K48">
        <v>3.83221</v>
      </c>
      <c r="L48">
        <v>3.69603</v>
      </c>
    </row>
    <row r="49" spans="1:12">
      <c r="A49">
        <v>930.5</v>
      </c>
      <c r="B49">
        <v>3.0542</v>
      </c>
      <c r="C49">
        <v>3.02063</v>
      </c>
      <c r="D49">
        <v>930.8</v>
      </c>
      <c r="E49">
        <v>3.18118</v>
      </c>
      <c r="F49">
        <v>3.12184</v>
      </c>
      <c r="G49">
        <v>858.7</v>
      </c>
      <c r="H49">
        <v>3.61607</v>
      </c>
      <c r="I49">
        <v>3.56133</v>
      </c>
      <c r="J49">
        <v>858.9</v>
      </c>
      <c r="K49">
        <v>3.67564</v>
      </c>
      <c r="L49">
        <v>3.55475</v>
      </c>
    </row>
    <row r="50" spans="1:12">
      <c r="A50">
        <v>954.6</v>
      </c>
      <c r="B50">
        <v>2.96077</v>
      </c>
      <c r="C50">
        <v>2.85887</v>
      </c>
      <c r="D50">
        <v>954.9</v>
      </c>
      <c r="E50">
        <v>2.98453</v>
      </c>
      <c r="F50">
        <v>2.97281</v>
      </c>
      <c r="G50">
        <v>884.6</v>
      </c>
      <c r="H50">
        <v>3.44168</v>
      </c>
      <c r="I50">
        <v>3.4254</v>
      </c>
      <c r="J50">
        <v>884.7</v>
      </c>
      <c r="K50">
        <v>3.47079</v>
      </c>
      <c r="L50">
        <v>3.39009</v>
      </c>
    </row>
    <row r="51" spans="1:12">
      <c r="A51">
        <v>980.4</v>
      </c>
      <c r="B51">
        <v>2.78347</v>
      </c>
      <c r="C51">
        <v>2.65989</v>
      </c>
      <c r="D51">
        <v>980.1</v>
      </c>
      <c r="E51">
        <v>2.85146</v>
      </c>
      <c r="F51">
        <v>2.77331</v>
      </c>
      <c r="G51">
        <v>910.9</v>
      </c>
      <c r="H51">
        <v>3.24968</v>
      </c>
      <c r="I51">
        <v>3.24444</v>
      </c>
      <c r="J51">
        <v>911.2</v>
      </c>
      <c r="K51">
        <v>3.32816</v>
      </c>
      <c r="L51">
        <v>3.2305</v>
      </c>
    </row>
    <row r="52" spans="1:12">
      <c r="A52">
        <v>1002.7</v>
      </c>
      <c r="B52">
        <v>2.61033</v>
      </c>
      <c r="C52">
        <v>2.53968</v>
      </c>
      <c r="D52">
        <v>1003.1</v>
      </c>
      <c r="E52">
        <v>2.66202</v>
      </c>
      <c r="F52">
        <v>2.65457</v>
      </c>
      <c r="G52">
        <v>931.1</v>
      </c>
      <c r="H52">
        <v>3.14765</v>
      </c>
      <c r="I52">
        <v>3.08601</v>
      </c>
      <c r="J52">
        <v>931.4</v>
      </c>
      <c r="K52">
        <v>3.21702</v>
      </c>
      <c r="L52">
        <v>3.12845</v>
      </c>
    </row>
    <row r="53" spans="1:12">
      <c r="A53">
        <v>1029</v>
      </c>
      <c r="B53">
        <v>2.50341</v>
      </c>
      <c r="C53">
        <v>2.40302</v>
      </c>
      <c r="D53">
        <v>1028.6</v>
      </c>
      <c r="E53">
        <v>2.52092</v>
      </c>
      <c r="F53">
        <v>2.47542</v>
      </c>
      <c r="G53">
        <v>955.2</v>
      </c>
      <c r="H53">
        <v>2.97136</v>
      </c>
      <c r="I53">
        <v>2.91962</v>
      </c>
      <c r="J53">
        <v>955.4</v>
      </c>
      <c r="K53">
        <v>3.03949</v>
      </c>
      <c r="L53">
        <v>2.97704</v>
      </c>
    </row>
    <row r="54" spans="1:12">
      <c r="A54">
        <v>955.9</v>
      </c>
      <c r="B54">
        <v>2.91263</v>
      </c>
      <c r="C54">
        <v>2.88555</v>
      </c>
      <c r="D54">
        <v>955.8</v>
      </c>
      <c r="E54">
        <v>2.98238</v>
      </c>
      <c r="F54">
        <v>2.95245</v>
      </c>
      <c r="G54">
        <v>979.7</v>
      </c>
      <c r="H54">
        <v>2.84043</v>
      </c>
      <c r="I54">
        <v>2.76521</v>
      </c>
      <c r="J54">
        <v>979.4</v>
      </c>
      <c r="K54">
        <v>2.87658</v>
      </c>
      <c r="L54">
        <v>2.78901</v>
      </c>
    </row>
    <row r="55" spans="1:12">
      <c r="A55">
        <v>978.5</v>
      </c>
      <c r="B55">
        <v>2.81453</v>
      </c>
      <c r="C55">
        <v>2.66957</v>
      </c>
      <c r="D55">
        <v>978.6</v>
      </c>
      <c r="E55">
        <v>2.83315</v>
      </c>
      <c r="F55">
        <v>2.81882</v>
      </c>
      <c r="G55">
        <v>1003.7</v>
      </c>
      <c r="H55">
        <v>2.64496</v>
      </c>
      <c r="I55">
        <v>2.62355</v>
      </c>
      <c r="J55">
        <v>1004.1</v>
      </c>
      <c r="K55">
        <v>2.72748</v>
      </c>
      <c r="L55">
        <v>2.65106</v>
      </c>
    </row>
    <row r="56" spans="1:12">
      <c r="A56">
        <v>1004.6</v>
      </c>
      <c r="B56">
        <v>2.64418</v>
      </c>
      <c r="C56">
        <v>2.54622</v>
      </c>
      <c r="D56">
        <v>1004.5</v>
      </c>
      <c r="E56">
        <v>2.68949</v>
      </c>
      <c r="F56">
        <v>2.65619</v>
      </c>
      <c r="G56">
        <v>1028.3</v>
      </c>
      <c r="H56">
        <v>2.53675</v>
      </c>
      <c r="I56">
        <v>2.48288</v>
      </c>
      <c r="J56">
        <v>1027.8</v>
      </c>
      <c r="K56">
        <v>2.52906</v>
      </c>
      <c r="L56">
        <v>2.44255</v>
      </c>
    </row>
    <row r="57" spans="1:12">
      <c r="A57">
        <v>1026.9</v>
      </c>
      <c r="B57">
        <v>2.48664</v>
      </c>
      <c r="C57">
        <v>2.36012</v>
      </c>
      <c r="D57">
        <v>1027.1</v>
      </c>
      <c r="E57">
        <v>2.51392</v>
      </c>
      <c r="F57">
        <v>2.44864</v>
      </c>
      <c r="G57">
        <v>955.7</v>
      </c>
      <c r="H57">
        <v>2.98539</v>
      </c>
      <c r="I57">
        <v>2.9458</v>
      </c>
      <c r="J57">
        <v>955.6</v>
      </c>
      <c r="K57">
        <v>3.0253</v>
      </c>
      <c r="L57">
        <v>2.95482</v>
      </c>
    </row>
    <row r="58" spans="1:12">
      <c r="A58">
        <v>1051.2</v>
      </c>
      <c r="B58">
        <v>2.31221</v>
      </c>
      <c r="C58">
        <v>2.24979</v>
      </c>
      <c r="D58">
        <v>1051.4</v>
      </c>
      <c r="E58">
        <v>2.36933</v>
      </c>
      <c r="F58">
        <v>2.35245</v>
      </c>
      <c r="G58">
        <v>978.8</v>
      </c>
      <c r="H58">
        <v>2.83234</v>
      </c>
      <c r="I58">
        <v>2.77223</v>
      </c>
      <c r="J58">
        <v>979</v>
      </c>
      <c r="K58">
        <v>2.86238</v>
      </c>
      <c r="L58">
        <v>2.79675</v>
      </c>
    </row>
    <row r="59" spans="1:12">
      <c r="A59">
        <v>1078.5</v>
      </c>
      <c r="B59">
        <v>2.19788</v>
      </c>
      <c r="C59">
        <v>2.0702</v>
      </c>
      <c r="D59">
        <v>1078.7</v>
      </c>
      <c r="E59">
        <v>2.16252</v>
      </c>
      <c r="F59">
        <v>2.16498</v>
      </c>
      <c r="G59">
        <v>1004.3</v>
      </c>
      <c r="H59">
        <v>2.65446</v>
      </c>
      <c r="I59">
        <v>2.59529</v>
      </c>
      <c r="J59">
        <v>1004.2</v>
      </c>
      <c r="K59">
        <v>2.72714</v>
      </c>
      <c r="L59">
        <v>2.61151</v>
      </c>
    </row>
    <row r="60" spans="1:12">
      <c r="A60">
        <v>1100</v>
      </c>
      <c r="B60">
        <v>2.02697</v>
      </c>
      <c r="C60">
        <v>1.91838</v>
      </c>
      <c r="D60">
        <v>1100.6</v>
      </c>
      <c r="E60">
        <v>2.00795</v>
      </c>
      <c r="F60">
        <v>2.05705</v>
      </c>
      <c r="G60">
        <v>1027.3</v>
      </c>
      <c r="H60">
        <v>2.52131</v>
      </c>
      <c r="I60">
        <v>2.47794</v>
      </c>
      <c r="J60">
        <v>1027.5</v>
      </c>
      <c r="K60">
        <v>2.5578</v>
      </c>
      <c r="L60">
        <v>2.49659</v>
      </c>
    </row>
    <row r="61" spans="1:12">
      <c r="A61">
        <v>1123.8</v>
      </c>
      <c r="B61">
        <v>1.84737</v>
      </c>
      <c r="C61">
        <v>1.80302</v>
      </c>
      <c r="D61">
        <v>1124.1</v>
      </c>
      <c r="E61">
        <v>1.86938</v>
      </c>
      <c r="F61">
        <v>1.83794</v>
      </c>
      <c r="G61">
        <v>1051.6</v>
      </c>
      <c r="H61">
        <v>2.39879</v>
      </c>
      <c r="I61">
        <v>2.31142</v>
      </c>
      <c r="J61">
        <v>1051.7</v>
      </c>
      <c r="K61">
        <v>2.43861</v>
      </c>
      <c r="L61">
        <v>2.31036</v>
      </c>
    </row>
    <row r="62" spans="1:12">
      <c r="A62">
        <v>1149.3</v>
      </c>
      <c r="B62">
        <v>1.62175</v>
      </c>
      <c r="C62">
        <v>1.55616</v>
      </c>
      <c r="D62">
        <v>1149</v>
      </c>
      <c r="E62">
        <v>1.7181</v>
      </c>
      <c r="F62">
        <v>1.69313</v>
      </c>
      <c r="G62">
        <v>1079</v>
      </c>
      <c r="H62">
        <v>2.22121</v>
      </c>
      <c r="I62">
        <v>2.14385</v>
      </c>
      <c r="J62">
        <v>1079.2</v>
      </c>
      <c r="K62">
        <v>2.19759</v>
      </c>
      <c r="L62">
        <v>2.14868</v>
      </c>
    </row>
    <row r="63" spans="1:12">
      <c r="A63">
        <v>1171.9</v>
      </c>
      <c r="B63">
        <v>1.52647</v>
      </c>
      <c r="C63">
        <v>1.46551</v>
      </c>
      <c r="D63">
        <v>1172.3</v>
      </c>
      <c r="E63">
        <v>1.54726</v>
      </c>
      <c r="F63">
        <v>1.52523</v>
      </c>
      <c r="G63">
        <v>1100.9</v>
      </c>
      <c r="H63">
        <v>2.03642</v>
      </c>
      <c r="I63">
        <v>2.01404</v>
      </c>
      <c r="J63">
        <v>1101.4</v>
      </c>
      <c r="K63">
        <v>2.06764</v>
      </c>
      <c r="L63">
        <v>2.00401</v>
      </c>
    </row>
    <row r="64" spans="1:12">
      <c r="A64">
        <v>1197.7</v>
      </c>
      <c r="B64">
        <v>1.33261</v>
      </c>
      <c r="C64">
        <v>1.303</v>
      </c>
      <c r="D64">
        <v>1197.3</v>
      </c>
      <c r="E64">
        <v>1.37262</v>
      </c>
      <c r="F64">
        <v>1.46431</v>
      </c>
      <c r="G64">
        <v>1124.4</v>
      </c>
      <c r="H64">
        <v>1.88566</v>
      </c>
      <c r="I64">
        <v>1.84292</v>
      </c>
      <c r="J64">
        <v>1124.9</v>
      </c>
      <c r="K64">
        <v>1.89748</v>
      </c>
      <c r="L64">
        <v>1.84334</v>
      </c>
    </row>
    <row r="65" spans="1:12">
      <c r="A65">
        <v>1126.1</v>
      </c>
      <c r="B65">
        <v>1.79806</v>
      </c>
      <c r="C65">
        <v>1.74409</v>
      </c>
      <c r="D65">
        <v>1125.9</v>
      </c>
      <c r="E65">
        <v>1.85996</v>
      </c>
      <c r="F65">
        <v>1.87395</v>
      </c>
      <c r="G65">
        <v>1148.7</v>
      </c>
      <c r="H65">
        <v>1.71317</v>
      </c>
      <c r="I65">
        <v>1.69937</v>
      </c>
      <c r="J65">
        <v>1148.4</v>
      </c>
      <c r="K65">
        <v>1.75946</v>
      </c>
      <c r="L65">
        <v>1.72129</v>
      </c>
    </row>
    <row r="66" spans="1:12">
      <c r="A66">
        <v>1147.1</v>
      </c>
      <c r="B66">
        <v>1.69662</v>
      </c>
      <c r="C66">
        <v>1.59963</v>
      </c>
      <c r="D66">
        <v>1147.3</v>
      </c>
      <c r="E66">
        <v>1.7395</v>
      </c>
      <c r="F66">
        <v>1.67601</v>
      </c>
      <c r="G66">
        <v>1172.7</v>
      </c>
      <c r="H66">
        <v>1.56844</v>
      </c>
      <c r="I66">
        <v>1.54341</v>
      </c>
      <c r="J66">
        <v>1173.1</v>
      </c>
      <c r="K66">
        <v>1.62103</v>
      </c>
      <c r="L66">
        <v>1.54233</v>
      </c>
    </row>
    <row r="67" spans="1:12">
      <c r="A67">
        <v>1174</v>
      </c>
      <c r="B67">
        <v>1.49083</v>
      </c>
      <c r="C67">
        <v>1.44758</v>
      </c>
      <c r="D67">
        <v>1173.7</v>
      </c>
      <c r="E67">
        <v>1.49869</v>
      </c>
      <c r="F67">
        <v>1.56766</v>
      </c>
      <c r="G67">
        <v>1196.8</v>
      </c>
      <c r="H67">
        <v>1.41249</v>
      </c>
      <c r="I67">
        <v>1.42245</v>
      </c>
      <c r="J67">
        <v>1196.5</v>
      </c>
      <c r="K67">
        <v>1.40447</v>
      </c>
      <c r="L67">
        <v>1.4619</v>
      </c>
    </row>
    <row r="68" spans="1:12">
      <c r="A68">
        <v>1195.3</v>
      </c>
      <c r="B68">
        <v>1.34268</v>
      </c>
      <c r="C68">
        <v>1.33639</v>
      </c>
      <c r="D68">
        <v>1195.6</v>
      </c>
      <c r="E68">
        <v>1.4092</v>
      </c>
      <c r="F68">
        <v>1.40298</v>
      </c>
      <c r="G68">
        <v>1125.7</v>
      </c>
      <c r="H68">
        <v>1.91479</v>
      </c>
      <c r="I68">
        <v>1.86971</v>
      </c>
      <c r="J68">
        <v>1125.5</v>
      </c>
      <c r="K68">
        <v>1.91117</v>
      </c>
      <c r="L68">
        <v>1.87625</v>
      </c>
    </row>
    <row r="69" spans="1:12">
      <c r="A69">
        <v>1220.3</v>
      </c>
      <c r="B69">
        <v>1.15424</v>
      </c>
      <c r="C69">
        <v>1.12888</v>
      </c>
      <c r="D69">
        <v>1220.5</v>
      </c>
      <c r="E69">
        <v>1.25698</v>
      </c>
      <c r="F69">
        <v>1.23707</v>
      </c>
      <c r="G69">
        <v>1147.7</v>
      </c>
      <c r="H69">
        <v>1.75941</v>
      </c>
      <c r="I69">
        <v>1.68766</v>
      </c>
      <c r="J69">
        <v>1148</v>
      </c>
      <c r="K69">
        <v>1.75722</v>
      </c>
      <c r="L69">
        <v>1.72105</v>
      </c>
    </row>
    <row r="70" spans="1:12">
      <c r="A70">
        <v>1244.4</v>
      </c>
      <c r="B70">
        <v>1.01411</v>
      </c>
      <c r="C70">
        <v>0.96424</v>
      </c>
      <c r="D70">
        <v>1244.7</v>
      </c>
      <c r="E70">
        <v>1.08346</v>
      </c>
      <c r="F70">
        <v>0.99632</v>
      </c>
      <c r="G70">
        <v>1173.5</v>
      </c>
      <c r="H70">
        <v>1.55945</v>
      </c>
      <c r="I70">
        <v>1.52013</v>
      </c>
      <c r="J70">
        <v>1173.3</v>
      </c>
      <c r="K70">
        <v>1.56436</v>
      </c>
      <c r="L70">
        <v>1.54643</v>
      </c>
    </row>
    <row r="71" spans="1:12">
      <c r="A71">
        <v>1268.2</v>
      </c>
      <c r="B71">
        <v>0.83655</v>
      </c>
      <c r="C71">
        <v>0.75903</v>
      </c>
      <c r="D71">
        <v>1268.5</v>
      </c>
      <c r="E71">
        <v>0.89147</v>
      </c>
      <c r="F71">
        <v>0.84578</v>
      </c>
      <c r="G71">
        <v>1195.8</v>
      </c>
      <c r="H71">
        <v>1.34612</v>
      </c>
      <c r="I71">
        <v>1.43067</v>
      </c>
      <c r="J71">
        <v>1196.1</v>
      </c>
      <c r="K71">
        <v>1.44969</v>
      </c>
      <c r="L71">
        <v>1.42513</v>
      </c>
    </row>
    <row r="72" spans="1:12">
      <c r="A72">
        <v>1292.4</v>
      </c>
      <c r="B72">
        <v>0.71633</v>
      </c>
      <c r="C72">
        <v>0.61069</v>
      </c>
      <c r="D72">
        <v>1293.2</v>
      </c>
      <c r="E72">
        <v>0.74151</v>
      </c>
      <c r="F72">
        <v>0.6791</v>
      </c>
      <c r="G72">
        <v>1220.8</v>
      </c>
      <c r="H72">
        <v>1.26703</v>
      </c>
      <c r="I72">
        <v>1.25465</v>
      </c>
      <c r="J72">
        <v>1221.1</v>
      </c>
      <c r="K72">
        <v>1.26201</v>
      </c>
      <c r="L72">
        <v>1.25219</v>
      </c>
    </row>
    <row r="73" spans="1:12">
      <c r="A73">
        <v>1316.5</v>
      </c>
      <c r="B73">
        <v>0.48131</v>
      </c>
      <c r="C73">
        <v>0.46493</v>
      </c>
      <c r="D73">
        <v>1316.2</v>
      </c>
      <c r="E73">
        <v>0.5611</v>
      </c>
      <c r="F73">
        <v>0.54058</v>
      </c>
      <c r="G73">
        <v>1245</v>
      </c>
      <c r="H73">
        <v>1.12756</v>
      </c>
      <c r="I73">
        <v>1.0284</v>
      </c>
      <c r="J73">
        <v>1245.3</v>
      </c>
      <c r="K73">
        <v>1.08363</v>
      </c>
      <c r="L73">
        <v>1.11671</v>
      </c>
    </row>
    <row r="74" spans="1:12">
      <c r="A74">
        <v>1340.7</v>
      </c>
      <c r="B74">
        <v>0.25239</v>
      </c>
      <c r="C74">
        <v>0.41442</v>
      </c>
      <c r="D74">
        <v>1341.4</v>
      </c>
      <c r="E74">
        <v>0.33761</v>
      </c>
      <c r="F74">
        <v>0.52082</v>
      </c>
      <c r="G74">
        <v>1268.9</v>
      </c>
      <c r="H74">
        <v>0.93102</v>
      </c>
      <c r="I74">
        <v>0.78814</v>
      </c>
      <c r="J74">
        <v>1269.2</v>
      </c>
      <c r="K74">
        <v>0.92497</v>
      </c>
      <c r="L74">
        <v>0.86928</v>
      </c>
    </row>
    <row r="75" spans="1:12">
      <c r="A75">
        <v>1364.9</v>
      </c>
      <c r="B75">
        <v>0.06373</v>
      </c>
      <c r="C75">
        <v>0.25154</v>
      </c>
      <c r="D75">
        <v>1365.3</v>
      </c>
      <c r="E75">
        <v>0.19934</v>
      </c>
      <c r="F75">
        <v>0.35963</v>
      </c>
      <c r="G75">
        <v>1293.5</v>
      </c>
      <c r="H75">
        <v>0.76393</v>
      </c>
      <c r="I75">
        <v>0.68183</v>
      </c>
      <c r="J75">
        <v>1293.8</v>
      </c>
      <c r="K75">
        <v>0.78718</v>
      </c>
      <c r="L75">
        <v>0.6795</v>
      </c>
    </row>
    <row r="76" spans="1:12">
      <c r="A76">
        <v>1389.9</v>
      </c>
      <c r="B76">
        <v>-0.09222</v>
      </c>
      <c r="C76">
        <v>0.12822</v>
      </c>
      <c r="D76">
        <v>1390.4</v>
      </c>
      <c r="E76">
        <v>0.02489</v>
      </c>
      <c r="F76">
        <v>0.10688</v>
      </c>
      <c r="G76">
        <v>1316.7</v>
      </c>
      <c r="H76">
        <v>0.64516</v>
      </c>
      <c r="I76">
        <v>0.63932</v>
      </c>
      <c r="J76">
        <v>1317.2</v>
      </c>
      <c r="K76">
        <v>0.55939</v>
      </c>
      <c r="L76">
        <v>0.665</v>
      </c>
    </row>
    <row r="77" spans="1:12">
      <c r="A77">
        <v>1418.8</v>
      </c>
      <c r="B77">
        <v>-0.31143</v>
      </c>
      <c r="C77">
        <v>-0.13662</v>
      </c>
      <c r="D77">
        <v>1419.4</v>
      </c>
      <c r="E77">
        <v>-0.2361</v>
      </c>
      <c r="F77">
        <v>-0.07548</v>
      </c>
      <c r="G77">
        <v>1341.8</v>
      </c>
      <c r="H77">
        <v>0.39851</v>
      </c>
      <c r="I77">
        <v>0.47468</v>
      </c>
      <c r="J77">
        <v>1342.8</v>
      </c>
      <c r="K77">
        <v>0.40065</v>
      </c>
      <c r="L77">
        <v>0.47586</v>
      </c>
    </row>
    <row r="78" spans="1:12">
      <c r="A78">
        <v>1431.4</v>
      </c>
      <c r="B78">
        <v>-0.43665</v>
      </c>
      <c r="C78">
        <v>-0.1514</v>
      </c>
      <c r="D78">
        <v>1432</v>
      </c>
      <c r="E78">
        <v>-0.33017</v>
      </c>
      <c r="F78">
        <v>-0.14653</v>
      </c>
      <c r="G78">
        <v>1365.8</v>
      </c>
      <c r="H78">
        <v>0.15854</v>
      </c>
      <c r="I78">
        <v>0.2727</v>
      </c>
      <c r="J78">
        <v>1366.2</v>
      </c>
      <c r="K78">
        <v>0.22202</v>
      </c>
      <c r="L78">
        <v>0.32491</v>
      </c>
    </row>
    <row r="79" spans="1:12">
      <c r="D79">
        <v>1468.2</v>
      </c>
      <c r="E79">
        <v>-0.58717</v>
      </c>
      <c r="F79">
        <v>-0.33087</v>
      </c>
      <c r="G79">
        <v>1390.8</v>
      </c>
      <c r="H79">
        <v>-0.03542</v>
      </c>
      <c r="I79">
        <v>0.17126</v>
      </c>
      <c r="J79">
        <v>1391.3</v>
      </c>
      <c r="K79">
        <v>0.02898</v>
      </c>
      <c r="L79">
        <v>0.13103</v>
      </c>
    </row>
    <row r="80" spans="1:12">
      <c r="D80">
        <v>1487.1</v>
      </c>
      <c r="E80">
        <v>-0.82462</v>
      </c>
      <c r="F80">
        <v>-0.40003</v>
      </c>
      <c r="G80">
        <v>1420.4</v>
      </c>
      <c r="H80">
        <v>-0.22189</v>
      </c>
      <c r="I80">
        <v>-0.02933</v>
      </c>
      <c r="J80">
        <v>1421.4</v>
      </c>
      <c r="K80">
        <v>-0.20555</v>
      </c>
      <c r="L80">
        <v>-0.04406</v>
      </c>
    </row>
    <row r="81" spans="4:12">
      <c r="D81">
        <v>1516.7</v>
      </c>
      <c r="E81">
        <v>-1.07119</v>
      </c>
      <c r="F81">
        <v>-0.69535</v>
      </c>
      <c r="G81">
        <v>1432.6</v>
      </c>
      <c r="H81">
        <v>-0.27694</v>
      </c>
      <c r="I81">
        <v>-0.08197</v>
      </c>
      <c r="J81">
        <v>1433.2</v>
      </c>
      <c r="K81">
        <v>-0.26723</v>
      </c>
      <c r="L81">
        <v>-0.07526</v>
      </c>
    </row>
    <row r="82" spans="4:12">
      <c r="D82">
        <v>1527.6</v>
      </c>
      <c r="E82">
        <v>-1.09751</v>
      </c>
      <c r="F82">
        <v>-1.07032</v>
      </c>
      <c r="G82">
        <v>1468.8</v>
      </c>
      <c r="H82">
        <v>-0.60789</v>
      </c>
      <c r="I82">
        <v>-0.28316</v>
      </c>
      <c r="J82">
        <v>1469.6</v>
      </c>
      <c r="K82">
        <v>-0.58771</v>
      </c>
      <c r="L82">
        <v>-0.2408</v>
      </c>
    </row>
    <row r="83" spans="4:12">
      <c r="D83">
        <v>1566.8</v>
      </c>
      <c r="E83">
        <v>-1.80972</v>
      </c>
      <c r="F83">
        <v>-1.30085</v>
      </c>
      <c r="G83">
        <v>1487.6</v>
      </c>
      <c r="H83">
        <v>-0.83402</v>
      </c>
      <c r="I83">
        <v>-0.57625</v>
      </c>
      <c r="J83">
        <v>1488.1</v>
      </c>
      <c r="K83">
        <v>-0.85755</v>
      </c>
      <c r="L83">
        <v>-0.5487</v>
      </c>
    </row>
    <row r="84" spans="4:12">
      <c r="G84">
        <v>1517.3</v>
      </c>
      <c r="H84">
        <v>-1.11383</v>
      </c>
      <c r="I84">
        <v>-0.61545</v>
      </c>
      <c r="J84">
        <v>1518.4</v>
      </c>
      <c r="K84">
        <v>-1.02834</v>
      </c>
      <c r="L84">
        <v>-0.66262</v>
      </c>
    </row>
    <row r="85" spans="4:12">
      <c r="G85">
        <v>1528.4</v>
      </c>
      <c r="H85">
        <v>-1.18974</v>
      </c>
      <c r="I85">
        <v>-1.01115</v>
      </c>
      <c r="J85">
        <v>1529.2</v>
      </c>
      <c r="K85">
        <v>-1.15709</v>
      </c>
      <c r="L85">
        <v>-0.97896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原始数据</vt:lpstr>
      <vt:lpstr>修正后伽马谱 (1)</vt:lpstr>
      <vt:lpstr>修正后伽马谱 (5)</vt:lpstr>
      <vt:lpstr>修正后伽马谱 (2)</vt:lpstr>
      <vt:lpstr>修正后伽马谱 (3)</vt:lpstr>
      <vt:lpstr>修正后伽马谱 (4)</vt:lpstr>
      <vt:lpstr>原始数据修正后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谢东霖</dc:creator>
  <cp:lastModifiedBy>七月流火</cp:lastModifiedBy>
  <dcterms:created xsi:type="dcterms:W3CDTF">2023-05-12T11:15:00Z</dcterms:created>
  <dcterms:modified xsi:type="dcterms:W3CDTF">2026-01-14T03:58:15Z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6CDDB6D31FA24A50AD1A2C0F70B6685E_12</vt:lpwstr>
  </property>
  <property fmtid="{D5CDD505-2E9C-101B-9397-08002B2CF9AE}" pid="4" name="CalculationRule">
    <vt:i4>0</vt:i4>
  </property>
</Properties>
</file>